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a Simran\Documents\"/>
    </mc:Choice>
  </mc:AlternateContent>
  <xr:revisionPtr revIDLastSave="0" documentId="13_ncr:1_{A0ABE66D-1A3B-434E-8AAF-764404127AB7}" xr6:coauthVersionLast="47" xr6:coauthVersionMax="47" xr10:uidLastSave="{00000000-0000-0000-0000-000000000000}"/>
  <bookViews>
    <workbookView xWindow="-108" yWindow="-108" windowWidth="23256" windowHeight="12456" firstSheet="1" activeTab="4" xr2:uid="{A75965DB-C4F1-46D7-9B30-E662A519F77C}"/>
  </bookViews>
  <sheets>
    <sheet name="Quaterly Results" sheetId="1" r:id="rId1"/>
    <sheet name="Annual Profit &amp; Loss" sheetId="2" r:id="rId2"/>
    <sheet name="Balance Sheet" sheetId="3" r:id="rId3"/>
    <sheet name="Cash Flow" sheetId="4" r:id="rId4"/>
    <sheet name="Ratios" sheetId="5" r:id="rId5"/>
    <sheet name="Insights" sheetId="7" r:id="rId6"/>
    <sheet name="Shareholding Pattern" sheetId="8" r:id="rId7"/>
    <sheet name="AUM by Segment" sheetId="9" r:id="rId8"/>
    <sheet name="Management Guidance vs Actual" sheetId="10" r:id="rId9"/>
    <sheet name="Credit Quality by Segment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<sst xmlns="http://schemas.openxmlformats.org/spreadsheetml/2006/main" count="150" uniqueCount="107">
  <si>
    <t>Interest</t>
  </si>
  <si>
    <t>Financing Profit</t>
  </si>
  <si>
    <t>Financing Margin %</t>
  </si>
  <si>
    <t>Depreciation</t>
  </si>
  <si>
    <t>Profit before tax</t>
  </si>
  <si>
    <t>Tax %</t>
  </si>
  <si>
    <t>EPS in Rs</t>
  </si>
  <si>
    <t>Gross NPA %</t>
  </si>
  <si>
    <t>Net NPA %</t>
  </si>
  <si>
    <t>Metric</t>
  </si>
  <si>
    <t>Revenue </t>
  </si>
  <si>
    <t>Expenses </t>
  </si>
  <si>
    <t>Other Income </t>
  </si>
  <si>
    <t>Net Profit </t>
  </si>
  <si>
    <t>Dividend Payout %</t>
  </si>
  <si>
    <t>Key Growth Metrics</t>
  </si>
  <si>
    <t>Compounded Sales Growth (10Y)</t>
  </si>
  <si>
    <t>Compounded Profit Growth (10Y)</t>
  </si>
  <si>
    <t xml:space="preserve">Stock Price CAGR (10Y) </t>
  </si>
  <si>
    <t>Return on Equity (10Y)</t>
  </si>
  <si>
    <t>Equity Capital</t>
  </si>
  <si>
    <t>Reserves</t>
  </si>
  <si>
    <t>Borrowing</t>
  </si>
  <si>
    <t>Total Liabilities</t>
  </si>
  <si>
    <t>CWIP</t>
  </si>
  <si>
    <t>Investments</t>
  </si>
  <si>
    <t>Total Assets</t>
  </si>
  <si>
    <t>Other Liabilities </t>
  </si>
  <si>
    <t>Fixed Assets </t>
  </si>
  <si>
    <t>Other Assets </t>
  </si>
  <si>
    <t>Net Cash Flow</t>
  </si>
  <si>
    <t>Free Cash Flow</t>
  </si>
  <si>
    <t>CFO/OP</t>
  </si>
  <si>
    <t>Cash from Operating Activity </t>
  </si>
  <si>
    <t>Cash from Investing Activity </t>
  </si>
  <si>
    <t>Cash from Financing Activity </t>
  </si>
  <si>
    <t>ROE %</t>
  </si>
  <si>
    <t>Customer franchise MM</t>
  </si>
  <si>
    <t>New loans booked
MM</t>
  </si>
  <si>
    <t>Cross-sell franchise
MM</t>
  </si>
  <si>
    <t>Products per Customer (PPC)
count</t>
  </si>
  <si>
    <t>No. of Shareholders</t>
  </si>
  <si>
    <t>Promoters %</t>
  </si>
  <si>
    <t>FIIs % </t>
  </si>
  <si>
    <t>DIIs %</t>
  </si>
  <si>
    <t>Government %</t>
  </si>
  <si>
    <t>Public %</t>
  </si>
  <si>
    <t>Others %</t>
  </si>
  <si>
    <t>AUM Mar-25</t>
  </si>
  <si>
    <t>AUM Mar-26</t>
  </si>
  <si>
    <t>Growth YoY</t>
  </si>
  <si>
    <t>Composition Mar-25</t>
  </si>
  <si>
    <t>Composition Mar-26</t>
  </si>
  <si>
    <t>Captive 2W &amp; 3W Finance</t>
  </si>
  <si>
    <t>Open Market 2W &amp; 3W Finance</t>
  </si>
  <si>
    <t>Urban Sales Finance</t>
  </si>
  <si>
    <t>Urban B2C Loans</t>
  </si>
  <si>
    <t>Rural Sales Finance</t>
  </si>
  <si>
    <t>Rural B2C Loans</t>
  </si>
  <si>
    <t>MFI Lending</t>
  </si>
  <si>
    <t>Gold Loans</t>
  </si>
  <si>
    <t>MSME Lending</t>
  </si>
  <si>
    <t>CV &amp; Tractor Finance</t>
  </si>
  <si>
    <t>Car Loans</t>
  </si>
  <si>
    <t>Commercial Lending</t>
  </si>
  <si>
    <t>Loan Against Securities</t>
  </si>
  <si>
    <t>Mortages</t>
  </si>
  <si>
    <t>Total</t>
  </si>
  <si>
    <t>Particulars</t>
  </si>
  <si>
    <t>What we said (FY26)</t>
  </si>
  <si>
    <t>What we did (FY26)</t>
  </si>
  <si>
    <t>Status</t>
  </si>
  <si>
    <t>Coustomer franchise addition</t>
  </si>
  <si>
    <t>14-16 MM</t>
  </si>
  <si>
    <t>17.51 MM</t>
  </si>
  <si>
    <t>Met</t>
  </si>
  <si>
    <t>AUM growth</t>
  </si>
  <si>
    <t>24%-25%</t>
  </si>
  <si>
    <t>Missed</t>
  </si>
  <si>
    <t>Net Interest Margin (NIM)</t>
  </si>
  <si>
    <t>Stable NIM</t>
  </si>
  <si>
    <t>Marginally lower</t>
  </si>
  <si>
    <t>Fee and other income</t>
  </si>
  <si>
    <t>13%-15%</t>
  </si>
  <si>
    <t>Opex to Net total income improvement</t>
  </si>
  <si>
    <t>40-50 bps</t>
  </si>
  <si>
    <t>36 bps</t>
  </si>
  <si>
    <t>Credit cost</t>
  </si>
  <si>
    <t>1.85%-1.95%</t>
  </si>
  <si>
    <t>Profitability (PAT Growth)</t>
  </si>
  <si>
    <t>Optimistic</t>
  </si>
  <si>
    <t>ROA</t>
  </si>
  <si>
    <t>4.4%-4.6%</t>
  </si>
  <si>
    <t>ROE</t>
  </si>
  <si>
    <t>19%-20%</t>
  </si>
  <si>
    <t>GNPA</t>
  </si>
  <si>
    <t>&lt;1.4%</t>
  </si>
  <si>
    <t>NNPA</t>
  </si>
  <si>
    <t>&lt;0.5%</t>
  </si>
  <si>
    <t>FINAI Transformation</t>
  </si>
  <si>
    <t>AI across processes</t>
  </si>
  <si>
    <t>On track</t>
  </si>
  <si>
    <t xml:space="preserve">Segment </t>
  </si>
  <si>
    <t>AUM (Mar-26)</t>
  </si>
  <si>
    <t>GNPA %</t>
  </si>
  <si>
    <t>NNPA %</t>
  </si>
  <si>
    <t>PCR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</si>
</sst>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9" fontId="0" fillId="0" borderId="1" xfId="0" applyNumberFormat="1" applyBorder="1"/>
    <xf numFmtId="10" fontId="0" fillId="0" borderId="1" xfId="0" applyNumberFormat="1" applyBorder="1"/>
    <xf numFmtId="0" fontId="2" fillId="2" borderId="1" xfId="0" applyFont="1" applyFill="1" applyBorder="1"/>
    <xf numFmtId="17" fontId="2" fillId="2" borderId="1" xfId="0" applyNumberFormat="1" applyFont="1" applyFill="1" applyBorder="1"/>
    <xf numFmtId="0" fontId="3" fillId="2" borderId="1" xfId="0" applyFont="1" applyFill="1" applyBorder="1"/>
    <xf numFmtId="17" fontId="3" fillId="2" borderId="1" xfId="0" applyNumberFormat="1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9" fontId="0" fillId="0" borderId="1" xfId="0" applyNumberFormat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'Quaterly Results'!$B$1:$N$1</c:f>
              <c:numCache>
                <c:formatCode>mmm\-yy</c:formatCode>
                <c:ptCount val="13"/>
                <c:pt idx="0">
                  <c:v>44986</c:v>
                </c:pt>
                <c:pt idx="1">
                  <c:v>45078</c:v>
                </c:pt>
                <c:pt idx="2">
                  <c:v>45170</c:v>
                </c:pt>
                <c:pt idx="3">
                  <c:v>45261</c:v>
                </c:pt>
                <c:pt idx="4">
                  <c:v>45352</c:v>
                </c:pt>
                <c:pt idx="5">
                  <c:v>45444</c:v>
                </c:pt>
                <c:pt idx="6">
                  <c:v>45536</c:v>
                </c:pt>
                <c:pt idx="7">
                  <c:v>45627</c:v>
                </c:pt>
                <c:pt idx="8">
                  <c:v>45717</c:v>
                </c:pt>
                <c:pt idx="9">
                  <c:v>45809</c:v>
                </c:pt>
                <c:pt idx="10">
                  <c:v>45901</c:v>
                </c:pt>
                <c:pt idx="11">
                  <c:v>45992</c:v>
                </c:pt>
                <c:pt idx="12">
                  <c:v>46082</c:v>
                </c:pt>
              </c:numCache>
            </c:numRef>
          </c:cat>
          <c:val>
            <c:numRef>
              <c:f>'Quaterly Results'!$B$13:$N$13</c:f>
              <c:numCache>
                <c:formatCode>0.00%</c:formatCode>
                <c:ptCount val="13"/>
                <c:pt idx="0">
                  <c:v>9.4000000000000004E-3</c:v>
                </c:pt>
                <c:pt idx="1">
                  <c:v>8.6999999999999994E-3</c:v>
                </c:pt>
                <c:pt idx="2">
                  <c:v>9.1000000000000004E-3</c:v>
                </c:pt>
                <c:pt idx="3">
                  <c:v>9.4999999999999998E-3</c:v>
                </c:pt>
                <c:pt idx="4">
                  <c:v>8.5000000000000006E-3</c:v>
                </c:pt>
                <c:pt idx="5">
                  <c:v>8.6E-3</c:v>
                </c:pt>
                <c:pt idx="6">
                  <c:v>1.06E-2</c:v>
                </c:pt>
                <c:pt idx="7">
                  <c:v>1.12E-2</c:v>
                </c:pt>
                <c:pt idx="8">
                  <c:v>9.5999999999999992E-3</c:v>
                </c:pt>
                <c:pt idx="9">
                  <c:v>1.03E-2</c:v>
                </c:pt>
                <c:pt idx="10">
                  <c:v>1.24E-2</c:v>
                </c:pt>
                <c:pt idx="11">
                  <c:v>1.21E-2</c:v>
                </c:pt>
                <c:pt idx="12">
                  <c:v>1.01E-2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C5-4160-A360-2DBAACBD137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'Quaterly Results'!$B$1:$N$1</c:f>
              <c:numCache>
                <c:formatCode>mmm\-yy</c:formatCode>
                <c:ptCount val="13"/>
                <c:pt idx="0">
                  <c:v>44986</c:v>
                </c:pt>
                <c:pt idx="1">
                  <c:v>45078</c:v>
                </c:pt>
                <c:pt idx="2">
                  <c:v>45170</c:v>
                </c:pt>
                <c:pt idx="3">
                  <c:v>45261</c:v>
                </c:pt>
                <c:pt idx="4">
                  <c:v>45352</c:v>
                </c:pt>
                <c:pt idx="5">
                  <c:v>45444</c:v>
                </c:pt>
                <c:pt idx="6">
                  <c:v>45536</c:v>
                </c:pt>
                <c:pt idx="7">
                  <c:v>45627</c:v>
                </c:pt>
                <c:pt idx="8">
                  <c:v>45717</c:v>
                </c:pt>
                <c:pt idx="9">
                  <c:v>45809</c:v>
                </c:pt>
                <c:pt idx="10">
                  <c:v>45901</c:v>
                </c:pt>
                <c:pt idx="11">
                  <c:v>45992</c:v>
                </c:pt>
                <c:pt idx="12">
                  <c:v>46082</c:v>
                </c:pt>
              </c:numCache>
            </c:numRef>
          </c:cat>
          <c:val>
            <c:numRef>
              <c:f>'Quaterly Results'!$B$14:$N$14</c:f>
              <c:numCache>
                <c:formatCode>0.00%</c:formatCode>
                <c:ptCount val="13"/>
                <c:pt idx="0">
                  <c:v>3.3999999999999998E-3</c:v>
                </c:pt>
                <c:pt idx="1">
                  <c:v>3.0999999999999999E-3</c:v>
                </c:pt>
                <c:pt idx="2">
                  <c:v>3.0999999999999999E-3</c:v>
                </c:pt>
                <c:pt idx="3">
                  <c:v>3.7000000000000002E-3</c:v>
                </c:pt>
                <c:pt idx="4">
                  <c:v>3.7000000000000002E-3</c:v>
                </c:pt>
                <c:pt idx="5">
                  <c:v>3.8E-3</c:v>
                </c:pt>
                <c:pt idx="6">
                  <c:v>4.5999999999999999E-3</c:v>
                </c:pt>
                <c:pt idx="7">
                  <c:v>4.7999999999999996E-3</c:v>
                </c:pt>
                <c:pt idx="8">
                  <c:v>4.4000000000000003E-3</c:v>
                </c:pt>
                <c:pt idx="9">
                  <c:v>5.0000000000000001E-3</c:v>
                </c:pt>
                <c:pt idx="10">
                  <c:v>6.0000000000000001E-3</c:v>
                </c:pt>
                <c:pt idx="11">
                  <c:v>4.7000000000000002E-3</c:v>
                </c:pt>
                <c:pt idx="12">
                  <c:v>4.1000000000000003E-3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C5-4160-A360-2DBAACBD1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9359583"/>
        <c:axId val="1209354783"/>
      </c:lineChart>
      <c:dateAx>
        <c:axId val="12093595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54783"/>
        <c:crosses val="autoZero"/>
        <c:auto val="1"/>
        <c:lblOffset val="100"/>
        <c:baseTimeUnit val="months"/>
      </c:dateAx>
      <c:valAx>
        <c:axId val="120935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5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'Annual Profit &amp; Loss'!$B$1:$M$1</c:f>
              <c:numCache>
                <c:formatCode>mmm\-yy</c:formatCode>
                <c:ptCount val="12"/>
                <c:pt idx="0">
                  <c:v>42064</c:v>
                </c:pt>
                <c:pt idx="1">
                  <c:v>42430</c:v>
                </c:pt>
                <c:pt idx="2">
                  <c:v>42795</c:v>
                </c:pt>
                <c:pt idx="3">
                  <c:v>43160</c:v>
                </c:pt>
                <c:pt idx="4">
                  <c:v>43525</c:v>
                </c:pt>
                <c:pt idx="5">
                  <c:v>43891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45352</c:v>
                </c:pt>
                <c:pt idx="10">
                  <c:v>45717</c:v>
                </c:pt>
                <c:pt idx="11">
                  <c:v>46082</c:v>
                </c:pt>
              </c:numCache>
            </c:numRef>
          </c:cat>
          <c:val>
            <c:numRef>
              <c:f>'Annual Profit &amp; Loss'!$B$2:$M$2</c:f>
              <c:numCache>
                <c:formatCode>#,##0</c:formatCode>
                <c:ptCount val="12"/>
                <c:pt idx="0">
                  <c:v>5392</c:v>
                </c:pt>
                <c:pt idx="1">
                  <c:v>7299</c:v>
                </c:pt>
                <c:pt idx="2">
                  <c:v>9970</c:v>
                </c:pt>
                <c:pt idx="3">
                  <c:v>12746</c:v>
                </c:pt>
                <c:pt idx="4">
                  <c:v>18487</c:v>
                </c:pt>
                <c:pt idx="5">
                  <c:v>26375</c:v>
                </c:pt>
                <c:pt idx="6">
                  <c:v>26673</c:v>
                </c:pt>
                <c:pt idx="7">
                  <c:v>31633</c:v>
                </c:pt>
                <c:pt idx="8">
                  <c:v>41411</c:v>
                </c:pt>
                <c:pt idx="9">
                  <c:v>54972</c:v>
                </c:pt>
                <c:pt idx="10">
                  <c:v>69709</c:v>
                </c:pt>
                <c:pt idx="11">
                  <c:v>81982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F-48C6-B57A-B6D3093D354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'Annual Profit &amp; Loss'!$B$1:$M$1</c:f>
              <c:numCache>
                <c:formatCode>mmm\-yy</c:formatCode>
                <c:ptCount val="12"/>
                <c:pt idx="0">
                  <c:v>42064</c:v>
                </c:pt>
                <c:pt idx="1">
                  <c:v>42430</c:v>
                </c:pt>
                <c:pt idx="2">
                  <c:v>42795</c:v>
                </c:pt>
                <c:pt idx="3">
                  <c:v>43160</c:v>
                </c:pt>
                <c:pt idx="4">
                  <c:v>43525</c:v>
                </c:pt>
                <c:pt idx="5">
                  <c:v>43891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45352</c:v>
                </c:pt>
                <c:pt idx="10">
                  <c:v>45717</c:v>
                </c:pt>
                <c:pt idx="11">
                  <c:v>46082</c:v>
                </c:pt>
              </c:numCache>
            </c:numRef>
          </c:cat>
          <c:val>
            <c:numRef>
              <c:f>'Annual Profit &amp; Loss'!$B$11:$M$11</c:f>
              <c:numCache>
                <c:formatCode>#,##0</c:formatCode>
                <c:ptCount val="12"/>
                <c:pt idx="0" formatCode="General">
                  <c:v>898</c:v>
                </c:pt>
                <c:pt idx="1">
                  <c:v>1279</c:v>
                </c:pt>
                <c:pt idx="2">
                  <c:v>1836</c:v>
                </c:pt>
                <c:pt idx="3">
                  <c:v>2496</c:v>
                </c:pt>
                <c:pt idx="4">
                  <c:v>3995</c:v>
                </c:pt>
                <c:pt idx="5">
                  <c:v>5264</c:v>
                </c:pt>
                <c:pt idx="6">
                  <c:v>4420</c:v>
                </c:pt>
                <c:pt idx="7">
                  <c:v>7028</c:v>
                </c:pt>
                <c:pt idx="8">
                  <c:v>11508</c:v>
                </c:pt>
                <c:pt idx="9">
                  <c:v>14451</c:v>
                </c:pt>
                <c:pt idx="10">
                  <c:v>16779</c:v>
                </c:pt>
                <c:pt idx="11">
                  <c:v>19332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0F-48C6-B57A-B6D3093D3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24832"/>
        <c:axId val="995307952"/>
      </c:lineChart>
      <c:dateAx>
        <c:axId val="1559924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7952"/>
        <c:crosses val="autoZero"/>
        <c:auto val="1"/>
        <c:lblOffset val="100"/>
        <c:baseTimeUnit val="years"/>
      </c:dateAx>
      <c:valAx>
        <c:axId val="99530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2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Ratios!$B$1:$M$1</c:f>
              <c:numCache>
                <c:formatCode>mmm\-yy</c:formatCode>
                <c:ptCount val="12"/>
                <c:pt idx="0">
                  <c:v>42064</c:v>
                </c:pt>
                <c:pt idx="1">
                  <c:v>42430</c:v>
                </c:pt>
                <c:pt idx="2">
                  <c:v>42795</c:v>
                </c:pt>
                <c:pt idx="3">
                  <c:v>43160</c:v>
                </c:pt>
                <c:pt idx="4">
                  <c:v>43525</c:v>
                </c:pt>
                <c:pt idx="5">
                  <c:v>43891</c:v>
                </c:pt>
                <c:pt idx="6">
                  <c:v>44256</c:v>
                </c:pt>
                <c:pt idx="7">
                  <c:v>44621</c:v>
                </c:pt>
                <c:pt idx="8">
                  <c:v>44986</c:v>
                </c:pt>
                <c:pt idx="9">
                  <c:v>45352</c:v>
                </c:pt>
                <c:pt idx="10">
                  <c:v>45717</c:v>
                </c:pt>
                <c:pt idx="11">
                  <c:v>46082</c:v>
                </c:pt>
              </c:numCache>
            </c:numRef>
          </c:cat>
          <c:val>
            <c:numRef>
              <c:f>Ratios!$B$2:$M$2</c:f>
              <c:numCache>
                <c:formatCode>0%</c:formatCode>
                <c:ptCount val="12"/>
                <c:pt idx="0">
                  <c:v>0.19</c:v>
                </c:pt>
                <c:pt idx="1">
                  <c:v>0.21</c:v>
                </c:pt>
                <c:pt idx="2">
                  <c:v>0.22</c:v>
                </c:pt>
                <c:pt idx="3">
                  <c:v>0.2</c:v>
                </c:pt>
                <c:pt idx="4">
                  <c:v>0.22</c:v>
                </c:pt>
                <c:pt idx="5">
                  <c:v>0.2</c:v>
                </c:pt>
                <c:pt idx="6">
                  <c:v>0.13</c:v>
                </c:pt>
                <c:pt idx="7">
                  <c:v>0.17</c:v>
                </c:pt>
                <c:pt idx="8">
                  <c:v>0.23</c:v>
                </c:pt>
                <c:pt idx="9">
                  <c:v>0.22</c:v>
                </c:pt>
                <c:pt idx="10">
                  <c:v>0.19</c:v>
                </c:pt>
                <c:pt idx="11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4-449E-9D9D-6C74C2960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416703"/>
        <c:axId val="1413414303"/>
      </c:barChart>
      <c:dateAx>
        <c:axId val="14134167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14303"/>
        <c:crosses val="autoZero"/>
        <c:auto val="1"/>
        <c:lblOffset val="100"/>
        <c:baseTimeUnit val="years"/>
      </c:dateAx>
      <c:valAx>
        <c:axId val="141341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1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'AUM by Segment'!$A$2:$A$16</c:f>
              <c:strCache>
                <c:ptCount val="15"/>
                <c:pt idx="0">
                  <c:v>Captive 2W &amp; 3W Finance</c:v>
                </c:pt>
                <c:pt idx="1">
                  <c:v>Open Market 2W &amp; 3W Finance</c:v>
                </c:pt>
                <c:pt idx="2">
                  <c:v>Urban Sales Finance</c:v>
                </c:pt>
                <c:pt idx="3">
                  <c:v>Urban B2C Loans</c:v>
                </c:pt>
                <c:pt idx="4">
                  <c:v>Rural Sales Finance</c:v>
                </c:pt>
                <c:pt idx="5">
                  <c:v>Rural B2C Loans</c:v>
                </c:pt>
                <c:pt idx="6">
                  <c:v>MFI Lending</c:v>
                </c:pt>
                <c:pt idx="7">
                  <c:v>Gold Loans</c:v>
                </c:pt>
                <c:pt idx="8">
                  <c:v>MSME Lending</c:v>
                </c:pt>
                <c:pt idx="9">
                  <c:v>CV &amp; Tractor Finance</c:v>
                </c:pt>
                <c:pt idx="10">
                  <c:v>Car Loans</c:v>
                </c:pt>
                <c:pt idx="11">
                  <c:v>Commercial Lending</c:v>
                </c:pt>
                <c:pt idx="12">
                  <c:v>Loan Against Securities</c:v>
                </c:pt>
                <c:pt idx="13">
                  <c:v>Mortages</c:v>
                </c:pt>
                <c:pt idx="14">
                  <c:v>Total</c:v>
                </c:pt>
              </c:strCache>
            </c:strRef>
          </c:cat>
          <c:val>
            <c:numRef>
              <c:f>'AUM by Segment'!$F$2:$F$16</c:f>
              <c:numCache>
                <c:formatCode>0.00%</c:formatCode>
                <c:ptCount val="15"/>
                <c:pt idx="0">
                  <c:v>8.0000000000000002E-3</c:v>
                </c:pt>
                <c:pt idx="1">
                  <c:v>1.6E-2</c:v>
                </c:pt>
                <c:pt idx="2">
                  <c:v>7.2999999999999995E-2</c:v>
                </c:pt>
                <c:pt idx="3">
                  <c:v>0.20499999999999999</c:v>
                </c:pt>
                <c:pt idx="4">
                  <c:v>2.1000000000000001E-2</c:v>
                </c:pt>
                <c:pt idx="5">
                  <c:v>0.05</c:v>
                </c:pt>
                <c:pt idx="6">
                  <c:v>4.0000000000000001E-3</c:v>
                </c:pt>
                <c:pt idx="7">
                  <c:v>3.5000000000000003E-2</c:v>
                </c:pt>
                <c:pt idx="8">
                  <c:v>0.10100000000000001</c:v>
                </c:pt>
                <c:pt idx="9">
                  <c:v>8.9999999999999993E-3</c:v>
                </c:pt>
                <c:pt idx="10">
                  <c:v>2.9000000000000001E-2</c:v>
                </c:pt>
                <c:pt idx="11">
                  <c:v>6.6000000000000003E-2</c:v>
                </c:pt>
                <c:pt idx="12">
                  <c:v>6.5000000000000002E-2</c:v>
                </c:pt>
                <c:pt idx="13">
                  <c:v>0.318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C-4162-B9D7-5436F5E2C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601980</xdr:colOff>
      <xdr:row>3</xdr:row>
      <xdr:rowOff>144780</xdr:rowOff>
    </xdr:from>
    <xdr:to>
      <xdr:col>20</xdr:col>
      <xdr:colOff>541020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8440C8-9A38-4224-FF42-7D13A6A15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220980</xdr:colOff>
      <xdr:row>5</xdr:row>
      <xdr:rowOff>140970</xdr:rowOff>
    </xdr:from>
    <xdr:to>
      <xdr:col>20</xdr:col>
      <xdr:colOff>525780</xdr:colOff>
      <xdr:row>20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FE960A-3813-279D-33FA-07DD52ADA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64770</xdr:rowOff>
    </xdr:from>
    <xdr:to>
      <xdr:col>15</xdr:col>
      <xdr:colOff>228600</xdr:colOff>
      <xdr:row>20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006509-4CA9-A041-551A-DEAAEA943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</xdr:row>
      <xdr:rowOff>30480</xdr:rowOff>
    </xdr:from>
    <xdr:to>
      <xdr:col>16</xdr:col>
      <xdr:colOff>220980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54D2E5-50FA-7B7B-ACAA-E6BBC6C5E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76FD-62EE-49AF-B979-2689CCC805BB}">
  <dimension ref="A1:N14"/>
  <sheetViews>
    <sheetView workbookViewId="0">
      <selection activeCell="B14" activeCellId="2" sqref="B1:N1 B13:N13 B14:N14"/>
    </sheetView>
  </sheetViews>
  <sheetFormatPr defaultRowHeight="14.4" x14ac:dyDescent="0.3"/>
  <cols>
    <col min="1" max="1" width="16.6640625" bestFit="1" customWidth="1"/>
  </cols>
  <sheetData>
    <row r="1" spans="1:14" s="1" customFormat="1" ht="15.6" x14ac:dyDescent="0.3">
      <c r="A1" s="6" t="s">
        <v>9</v>
      </c>
      <c r="B1" s="7">
        <v>44986</v>
      </c>
      <c r="C1" s="7">
        <v>45078</v>
      </c>
      <c r="D1" s="7">
        <v>45170</v>
      </c>
      <c r="E1" s="7">
        <v>45261</v>
      </c>
      <c r="F1" s="7">
        <v>45352</v>
      </c>
      <c r="G1" s="7">
        <v>45444</v>
      </c>
      <c r="H1" s="7">
        <v>45536</v>
      </c>
      <c r="I1" s="7">
        <v>45627</v>
      </c>
      <c r="J1" s="7">
        <v>45717</v>
      </c>
      <c r="K1" s="7">
        <v>45809</v>
      </c>
      <c r="L1" s="7">
        <v>45901</v>
      </c>
      <c r="M1" s="7">
        <v>45992</v>
      </c>
      <c r="N1" s="7">
        <v>46082</v>
      </c>
    </row>
    <row r="2" spans="1:14" x14ac:dyDescent="0.3">
      <c r="A2" s="2" t="s">
        <v>10</v>
      </c>
      <c r="B2" s="3">
        <v>11364</v>
      </c>
      <c r="C2" s="3">
        <v>12498</v>
      </c>
      <c r="D2" s="3">
        <v>13382</v>
      </c>
      <c r="E2" s="3">
        <v>14164</v>
      </c>
      <c r="F2" s="3">
        <v>14926</v>
      </c>
      <c r="G2" s="3">
        <v>16100</v>
      </c>
      <c r="H2" s="3">
        <v>17091</v>
      </c>
      <c r="I2" s="3">
        <v>18035</v>
      </c>
      <c r="J2" s="3">
        <v>18294</v>
      </c>
      <c r="K2" s="3">
        <v>19524</v>
      </c>
      <c r="L2" s="3">
        <v>20179</v>
      </c>
      <c r="M2" s="3">
        <v>21013</v>
      </c>
      <c r="N2" s="3">
        <v>21606</v>
      </c>
    </row>
    <row r="3" spans="1:14" x14ac:dyDescent="0.3">
      <c r="A3" s="2" t="s">
        <v>0</v>
      </c>
      <c r="B3" s="3">
        <v>3592</v>
      </c>
      <c r="C3" s="3">
        <v>4103</v>
      </c>
      <c r="D3" s="3">
        <v>4537</v>
      </c>
      <c r="E3" s="3">
        <v>4868</v>
      </c>
      <c r="F3" s="3">
        <v>5217</v>
      </c>
      <c r="G3" s="3">
        <v>5684</v>
      </c>
      <c r="H3" s="3">
        <v>6149</v>
      </c>
      <c r="I3" s="3">
        <v>6386</v>
      </c>
      <c r="J3" s="3">
        <v>6551</v>
      </c>
      <c r="K3" s="3">
        <v>6918</v>
      </c>
      <c r="L3" s="3">
        <v>7011</v>
      </c>
      <c r="M3" s="3">
        <v>7339</v>
      </c>
      <c r="N3" s="3">
        <v>7398</v>
      </c>
    </row>
    <row r="4" spans="1:14" x14ac:dyDescent="0.3">
      <c r="A4" s="2" t="s">
        <v>11</v>
      </c>
      <c r="B4" s="3">
        <v>3382</v>
      </c>
      <c r="C4" s="3">
        <v>3693</v>
      </c>
      <c r="D4" s="3">
        <v>3931</v>
      </c>
      <c r="E4" s="3">
        <v>4229</v>
      </c>
      <c r="F4" s="3">
        <v>4420</v>
      </c>
      <c r="G4" s="3">
        <v>4956</v>
      </c>
      <c r="H4" s="3">
        <v>5338</v>
      </c>
      <c r="I4" s="3">
        <v>5691</v>
      </c>
      <c r="J4" s="3">
        <v>5865</v>
      </c>
      <c r="K4" s="3">
        <v>5992</v>
      </c>
      <c r="L4" s="3">
        <v>6307</v>
      </c>
      <c r="M4" s="3">
        <v>7737</v>
      </c>
      <c r="N4" s="3">
        <v>6553</v>
      </c>
    </row>
    <row r="5" spans="1:14" x14ac:dyDescent="0.3">
      <c r="A5" s="2" t="s">
        <v>1</v>
      </c>
      <c r="B5" s="3">
        <v>4390</v>
      </c>
      <c r="C5" s="3">
        <v>4703</v>
      </c>
      <c r="D5" s="3">
        <v>4914</v>
      </c>
      <c r="E5" s="3">
        <v>5066</v>
      </c>
      <c r="F5" s="3">
        <v>5289</v>
      </c>
      <c r="G5" s="3">
        <v>5460</v>
      </c>
      <c r="H5" s="3">
        <v>5604</v>
      </c>
      <c r="I5" s="3">
        <v>5958</v>
      </c>
      <c r="J5" s="3">
        <v>5879</v>
      </c>
      <c r="K5" s="3">
        <v>6614</v>
      </c>
      <c r="L5" s="3">
        <v>6861</v>
      </c>
      <c r="M5" s="3">
        <v>5937</v>
      </c>
      <c r="N5" s="3">
        <v>7654</v>
      </c>
    </row>
    <row r="6" spans="1:14" x14ac:dyDescent="0.3">
      <c r="A6" s="2" t="s">
        <v>2</v>
      </c>
      <c r="B6" s="4">
        <v>0.39</v>
      </c>
      <c r="C6" s="4">
        <v>0.38</v>
      </c>
      <c r="D6" s="4">
        <v>0.37</v>
      </c>
      <c r="E6" s="4">
        <v>0.36</v>
      </c>
      <c r="F6" s="4">
        <v>0.35</v>
      </c>
      <c r="G6" s="4">
        <v>0.34</v>
      </c>
      <c r="H6" s="4">
        <v>0.33</v>
      </c>
      <c r="I6" s="4">
        <v>0.33</v>
      </c>
      <c r="J6" s="4">
        <v>0.32</v>
      </c>
      <c r="K6" s="4">
        <v>0.34</v>
      </c>
      <c r="L6" s="4">
        <v>0.34</v>
      </c>
      <c r="M6" s="4">
        <v>0.28000000000000003</v>
      </c>
      <c r="N6" s="4">
        <v>0.35</v>
      </c>
    </row>
    <row r="7" spans="1:14" x14ac:dyDescent="0.3">
      <c r="A7" s="2" t="s">
        <v>12</v>
      </c>
      <c r="B7" s="2">
        <v>5</v>
      </c>
      <c r="C7" s="2">
        <v>5</v>
      </c>
      <c r="D7" s="2">
        <v>2</v>
      </c>
      <c r="E7" s="2">
        <v>5</v>
      </c>
      <c r="F7" s="2">
        <v>9</v>
      </c>
      <c r="G7" s="2">
        <v>5</v>
      </c>
      <c r="H7" s="2">
        <v>7</v>
      </c>
      <c r="I7" s="2">
        <v>26</v>
      </c>
      <c r="J7" s="2">
        <v>21</v>
      </c>
      <c r="K7" s="2">
        <v>5</v>
      </c>
      <c r="L7" s="2">
        <v>5</v>
      </c>
      <c r="M7" s="2">
        <v>-262</v>
      </c>
      <c r="N7" s="2">
        <v>11</v>
      </c>
    </row>
    <row r="8" spans="1:14" x14ac:dyDescent="0.3">
      <c r="A8" s="2" t="s">
        <v>3</v>
      </c>
      <c r="B8" s="2">
        <v>134</v>
      </c>
      <c r="C8" s="2">
        <v>156</v>
      </c>
      <c r="D8" s="2">
        <v>159</v>
      </c>
      <c r="E8" s="2">
        <v>176</v>
      </c>
      <c r="F8" s="2">
        <v>193</v>
      </c>
      <c r="G8" s="2">
        <v>200</v>
      </c>
      <c r="H8" s="2">
        <v>210</v>
      </c>
      <c r="I8" s="2">
        <v>219</v>
      </c>
      <c r="J8" s="2">
        <v>252</v>
      </c>
      <c r="K8" s="2">
        <v>251</v>
      </c>
      <c r="L8" s="2">
        <v>258</v>
      </c>
      <c r="M8" s="2">
        <v>244</v>
      </c>
      <c r="N8" s="2">
        <v>256</v>
      </c>
    </row>
    <row r="9" spans="1:14" x14ac:dyDescent="0.3">
      <c r="A9" s="2" t="s">
        <v>4</v>
      </c>
      <c r="B9" s="3">
        <v>4261</v>
      </c>
      <c r="C9" s="3">
        <v>4551</v>
      </c>
      <c r="D9" s="3">
        <v>4758</v>
      </c>
      <c r="E9" s="3">
        <v>4896</v>
      </c>
      <c r="F9" s="3">
        <v>5105</v>
      </c>
      <c r="G9" s="3">
        <v>5265</v>
      </c>
      <c r="H9" s="3">
        <v>5401</v>
      </c>
      <c r="I9" s="3">
        <v>5765</v>
      </c>
      <c r="J9" s="3">
        <v>5647</v>
      </c>
      <c r="K9" s="3">
        <v>6368</v>
      </c>
      <c r="L9" s="3">
        <v>6608</v>
      </c>
      <c r="M9" s="3">
        <v>5431</v>
      </c>
      <c r="N9" s="3">
        <v>7410</v>
      </c>
    </row>
    <row r="10" spans="1:14" x14ac:dyDescent="0.3">
      <c r="A10" s="2" t="s">
        <v>5</v>
      </c>
      <c r="B10" s="4">
        <v>0.26</v>
      </c>
      <c r="C10" s="4">
        <v>0.24</v>
      </c>
      <c r="D10" s="4">
        <v>0.25</v>
      </c>
      <c r="E10" s="4">
        <v>0.26</v>
      </c>
      <c r="F10" s="4">
        <v>0.25</v>
      </c>
      <c r="G10" s="4">
        <v>0.26</v>
      </c>
      <c r="H10" s="4">
        <v>0.26</v>
      </c>
      <c r="I10" s="4">
        <v>0.25</v>
      </c>
      <c r="J10" s="4">
        <v>0.2</v>
      </c>
      <c r="K10" s="4">
        <v>0.25</v>
      </c>
      <c r="L10" s="4">
        <v>0.25</v>
      </c>
      <c r="M10" s="4">
        <v>0.25</v>
      </c>
      <c r="N10" s="4">
        <v>0.25</v>
      </c>
    </row>
    <row r="11" spans="1:14" x14ac:dyDescent="0.3">
      <c r="A11" s="2" t="s">
        <v>13</v>
      </c>
      <c r="B11" s="3">
        <v>3158</v>
      </c>
      <c r="C11" s="3">
        <v>3437</v>
      </c>
      <c r="D11" s="3">
        <v>3551</v>
      </c>
      <c r="E11" s="3">
        <v>3639</v>
      </c>
      <c r="F11" s="3">
        <v>3825</v>
      </c>
      <c r="G11" s="3">
        <v>3912</v>
      </c>
      <c r="H11" s="3">
        <v>4014</v>
      </c>
      <c r="I11" s="3">
        <v>4308</v>
      </c>
      <c r="J11" s="3">
        <v>4546</v>
      </c>
      <c r="K11" s="3">
        <v>4765</v>
      </c>
      <c r="L11" s="3">
        <v>4948</v>
      </c>
      <c r="M11" s="3">
        <v>4066</v>
      </c>
      <c r="N11" s="3">
        <v>5553</v>
      </c>
    </row>
    <row r="12" spans="1:14" x14ac:dyDescent="0.3">
      <c r="A12" s="2" t="s">
        <v>6</v>
      </c>
      <c r="B12" s="2">
        <v>5.22</v>
      </c>
      <c r="C12" s="2">
        <v>5.67</v>
      </c>
      <c r="D12" s="2">
        <v>5.86</v>
      </c>
      <c r="E12" s="2">
        <v>5.89</v>
      </c>
      <c r="F12" s="2">
        <v>6.18</v>
      </c>
      <c r="G12" s="2">
        <v>6.32</v>
      </c>
      <c r="H12" s="2">
        <v>6.46</v>
      </c>
      <c r="I12" s="2">
        <v>6.86</v>
      </c>
      <c r="J12" s="2">
        <v>7.21</v>
      </c>
      <c r="K12" s="2">
        <v>7.56</v>
      </c>
      <c r="L12" s="2">
        <v>7.84</v>
      </c>
      <c r="M12" s="2">
        <v>6.39</v>
      </c>
      <c r="N12" s="2">
        <v>8.7799999999999994</v>
      </c>
    </row>
    <row r="13" spans="1:14" x14ac:dyDescent="0.3">
      <c r="A13" s="2" t="s">
        <v>7</v>
      </c>
      <c r="B13" s="5">
        <v>9.4000000000000004E-3</v>
      </c>
      <c r="C13" s="5">
        <v>8.6999999999999994E-3</v>
      </c>
      <c r="D13" s="5">
        <v>9.1000000000000004E-3</v>
      </c>
      <c r="E13" s="5">
        <v>9.4999999999999998E-3</v>
      </c>
      <c r="F13" s="5">
        <v>8.5000000000000006E-3</v>
      </c>
      <c r="G13" s="5">
        <v>8.6E-3</v>
      </c>
      <c r="H13" s="5">
        <v>1.06E-2</v>
      </c>
      <c r="I13" s="5">
        <v>1.12E-2</v>
      </c>
      <c r="J13" s="5">
        <v>9.5999999999999992E-3</v>
      </c>
      <c r="K13" s="5">
        <v>1.03E-2</v>
      </c>
      <c r="L13" s="5">
        <v>1.24E-2</v>
      </c>
      <c r="M13" s="5">
        <v>1.21E-2</v>
      </c>
      <c r="N13" s="5">
        <v>1.01E-2</v>
      </c>
    </row>
    <row r="14" spans="1:14" x14ac:dyDescent="0.3">
      <c r="A14" s="2" t="s">
        <v>8</v>
      </c>
      <c r="B14" s="5">
        <v>3.3999999999999998E-3</v>
      </c>
      <c r="C14" s="5">
        <v>3.0999999999999999E-3</v>
      </c>
      <c r="D14" s="5">
        <v>3.0999999999999999E-3</v>
      </c>
      <c r="E14" s="5">
        <v>3.7000000000000002E-3</v>
      </c>
      <c r="F14" s="5">
        <v>3.7000000000000002E-3</v>
      </c>
      <c r="G14" s="5">
        <v>3.8E-3</v>
      </c>
      <c r="H14" s="5">
        <v>4.5999999999999999E-3</v>
      </c>
      <c r="I14" s="5">
        <v>4.7999999999999996E-3</v>
      </c>
      <c r="J14" s="5">
        <v>4.4000000000000003E-3</v>
      </c>
      <c r="K14" s="5">
        <v>5.0000000000000001E-3</v>
      </c>
      <c r="L14" s="5">
        <v>6.0000000000000001E-3</v>
      </c>
      <c r="M14" s="5">
        <v>4.7000000000000002E-3</v>
      </c>
      <c r="N14" s="5">
        <v>4.1000000000000003E-3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4371-F0D3-4D7A-A560-57AEA1B3E054}">
  <dimension ref="A1:M19"/>
  <sheetViews>
    <sheetView workbookViewId="0">
      <selection activeCell="L22" sqref="L22"/>
    </sheetView>
  </sheetViews>
  <sheetFormatPr defaultRowHeight="14.4" x14ac:dyDescent="0.3"/>
  <cols>
    <col min="1" max="1" width="28" bestFit="1" customWidth="1"/>
  </cols>
  <sheetData>
    <row r="1" spans="1:13" ht="15.6" x14ac:dyDescent="0.3">
      <c r="A1" s="6" t="s">
        <v>9</v>
      </c>
      <c r="B1" s="7">
        <v>42064</v>
      </c>
      <c r="C1" s="7">
        <v>42430</v>
      </c>
      <c r="D1" s="7">
        <v>42795</v>
      </c>
      <c r="E1" s="7">
        <v>43160</v>
      </c>
      <c r="F1" s="7">
        <v>43525</v>
      </c>
      <c r="G1" s="7">
        <v>43891</v>
      </c>
      <c r="H1" s="7">
        <v>44256</v>
      </c>
      <c r="I1" s="7">
        <v>44621</v>
      </c>
      <c r="J1" s="7">
        <v>44986</v>
      </c>
      <c r="K1" s="7">
        <v>45352</v>
      </c>
      <c r="L1" s="7">
        <v>45717</v>
      </c>
      <c r="M1" s="7">
        <v>46082</v>
      </c>
    </row>
    <row r="2" spans="1:13" x14ac:dyDescent="0.3">
      <c r="A2" s="2" t="s">
        <v>10</v>
      </c>
      <c r="B2" s="3">
        <v>5392</v>
      </c>
      <c r="C2" s="3">
        <v>7299</v>
      </c>
      <c r="D2" s="3">
        <v>9970</v>
      </c>
      <c r="E2" s="3">
        <v>12746</v>
      </c>
      <c r="F2" s="3">
        <v>18487</v>
      </c>
      <c r="G2" s="3">
        <v>26375</v>
      </c>
      <c r="H2" s="3">
        <v>26673</v>
      </c>
      <c r="I2" s="3">
        <v>31633</v>
      </c>
      <c r="J2" s="3">
        <v>41411</v>
      </c>
      <c r="K2" s="3">
        <v>54972</v>
      </c>
      <c r="L2" s="3">
        <v>69709</v>
      </c>
      <c r="M2" s="3">
        <v>81982</v>
      </c>
    </row>
    <row r="3" spans="1:13" x14ac:dyDescent="0.3">
      <c r="A3" s="2" t="s">
        <v>0</v>
      </c>
      <c r="B3" s="3">
        <v>2274</v>
      </c>
      <c r="C3" s="3">
        <v>2959</v>
      </c>
      <c r="D3" s="3">
        <v>3853</v>
      </c>
      <c r="E3" s="3">
        <v>4696</v>
      </c>
      <c r="F3" s="3">
        <v>6723</v>
      </c>
      <c r="G3" s="3">
        <v>9608</v>
      </c>
      <c r="H3" s="3">
        <v>9519</v>
      </c>
      <c r="I3" s="3">
        <v>9848</v>
      </c>
      <c r="J3" s="3">
        <v>12701</v>
      </c>
      <c r="K3" s="3">
        <v>18886</v>
      </c>
      <c r="L3" s="3">
        <v>24992</v>
      </c>
      <c r="M3" s="3">
        <v>28666</v>
      </c>
    </row>
    <row r="4" spans="1:13" x14ac:dyDescent="0.3">
      <c r="A4" s="2" t="s">
        <v>11</v>
      </c>
      <c r="B4" s="3">
        <v>1752</v>
      </c>
      <c r="C4" s="3">
        <v>2354</v>
      </c>
      <c r="D4" s="3">
        <v>3250</v>
      </c>
      <c r="E4" s="3">
        <v>4115</v>
      </c>
      <c r="F4" s="3">
        <v>5454</v>
      </c>
      <c r="G4" s="3">
        <v>9159</v>
      </c>
      <c r="H4" s="3">
        <v>10839</v>
      </c>
      <c r="I4" s="3">
        <v>11880</v>
      </c>
      <c r="J4" s="3">
        <v>12693</v>
      </c>
      <c r="K4" s="3">
        <v>16099</v>
      </c>
      <c r="L4" s="3">
        <v>21754</v>
      </c>
      <c r="M4" s="3">
        <v>26249</v>
      </c>
    </row>
    <row r="5" spans="1:13" x14ac:dyDescent="0.3">
      <c r="A5" s="2" t="s">
        <v>1</v>
      </c>
      <c r="B5" s="3">
        <v>1367</v>
      </c>
      <c r="C5" s="3">
        <v>1986</v>
      </c>
      <c r="D5" s="3">
        <v>2867</v>
      </c>
      <c r="E5" s="3">
        <v>3935</v>
      </c>
      <c r="F5" s="3">
        <v>6310</v>
      </c>
      <c r="G5" s="3">
        <v>7609</v>
      </c>
      <c r="H5" s="3">
        <v>6314</v>
      </c>
      <c r="I5" s="3">
        <v>9905</v>
      </c>
      <c r="J5" s="3">
        <v>16018</v>
      </c>
      <c r="K5" s="3">
        <v>19987</v>
      </c>
      <c r="L5" s="3">
        <v>22963</v>
      </c>
      <c r="M5" s="3">
        <v>27067</v>
      </c>
    </row>
    <row r="6" spans="1:13" x14ac:dyDescent="0.3">
      <c r="A6" s="2" t="s">
        <v>2</v>
      </c>
      <c r="B6" s="4">
        <v>0.25</v>
      </c>
      <c r="C6" s="4">
        <v>0.27</v>
      </c>
      <c r="D6" s="4">
        <v>0.28999999999999998</v>
      </c>
      <c r="E6" s="4">
        <v>0.31</v>
      </c>
      <c r="F6" s="4">
        <v>0.34</v>
      </c>
      <c r="G6" s="4">
        <v>0.28999999999999998</v>
      </c>
      <c r="H6" s="4">
        <v>0.24</v>
      </c>
      <c r="I6" s="4">
        <v>0.31</v>
      </c>
      <c r="J6" s="4">
        <v>0.39</v>
      </c>
      <c r="K6" s="4">
        <v>0.36</v>
      </c>
      <c r="L6" s="4">
        <v>0.33</v>
      </c>
      <c r="M6" s="4">
        <v>0.33</v>
      </c>
    </row>
    <row r="7" spans="1:13" x14ac:dyDescent="0.3">
      <c r="A7" s="2" t="s">
        <v>12</v>
      </c>
      <c r="B7" s="2">
        <v>26</v>
      </c>
      <c r="C7" s="2">
        <v>35</v>
      </c>
      <c r="D7" s="2">
        <v>22</v>
      </c>
      <c r="E7" s="2">
        <v>10</v>
      </c>
      <c r="F7" s="2">
        <v>13</v>
      </c>
      <c r="G7" s="2">
        <v>8</v>
      </c>
      <c r="H7" s="2">
        <v>3</v>
      </c>
      <c r="I7" s="2">
        <v>-17</v>
      </c>
      <c r="J7" s="2">
        <v>-5</v>
      </c>
      <c r="K7" s="2">
        <v>6</v>
      </c>
      <c r="L7" s="2">
        <v>-2</v>
      </c>
      <c r="M7" s="2">
        <v>-242</v>
      </c>
    </row>
    <row r="8" spans="1:13" x14ac:dyDescent="0.3">
      <c r="A8" s="2" t="s">
        <v>3</v>
      </c>
      <c r="B8" s="2">
        <v>36</v>
      </c>
      <c r="C8" s="2">
        <v>56</v>
      </c>
      <c r="D8" s="2">
        <v>71</v>
      </c>
      <c r="E8" s="2">
        <v>102</v>
      </c>
      <c r="F8" s="2">
        <v>144</v>
      </c>
      <c r="G8" s="2">
        <v>295</v>
      </c>
      <c r="H8" s="2">
        <v>325</v>
      </c>
      <c r="I8" s="2">
        <v>385</v>
      </c>
      <c r="J8" s="2">
        <v>485</v>
      </c>
      <c r="K8" s="2">
        <v>683</v>
      </c>
      <c r="L8" s="2">
        <v>881</v>
      </c>
      <c r="M8" s="3">
        <v>1009</v>
      </c>
    </row>
    <row r="9" spans="1:13" x14ac:dyDescent="0.3">
      <c r="A9" s="2" t="s">
        <v>4</v>
      </c>
      <c r="B9" s="3">
        <v>1357</v>
      </c>
      <c r="C9" s="3">
        <v>1965</v>
      </c>
      <c r="D9" s="3">
        <v>2817</v>
      </c>
      <c r="E9" s="3">
        <v>3843</v>
      </c>
      <c r="F9" s="3">
        <v>6179</v>
      </c>
      <c r="G9" s="3">
        <v>7322</v>
      </c>
      <c r="H9" s="3">
        <v>5992</v>
      </c>
      <c r="I9" s="3">
        <v>9504</v>
      </c>
      <c r="J9" s="3">
        <v>15528</v>
      </c>
      <c r="K9" s="3">
        <v>19310</v>
      </c>
      <c r="L9" s="3">
        <v>22080</v>
      </c>
      <c r="M9" s="3">
        <v>25817</v>
      </c>
    </row>
    <row r="10" spans="1:13" x14ac:dyDescent="0.3">
      <c r="A10" s="2" t="s">
        <v>5</v>
      </c>
      <c r="B10" s="4">
        <v>0.34</v>
      </c>
      <c r="C10" s="4">
        <v>0.35</v>
      </c>
      <c r="D10" s="4">
        <v>0.35</v>
      </c>
      <c r="E10" s="4">
        <v>0.35</v>
      </c>
      <c r="F10" s="4">
        <v>0.35</v>
      </c>
      <c r="G10" s="4">
        <v>0.28000000000000003</v>
      </c>
      <c r="H10" s="4">
        <v>0.26</v>
      </c>
      <c r="I10" s="4">
        <v>0.26</v>
      </c>
      <c r="J10" s="4">
        <v>0.26</v>
      </c>
      <c r="K10" s="4">
        <v>0.25</v>
      </c>
      <c r="L10" s="4">
        <v>0.24</v>
      </c>
      <c r="M10" s="4">
        <v>0.25</v>
      </c>
    </row>
    <row r="11" spans="1:13" x14ac:dyDescent="0.3">
      <c r="A11" s="2" t="s">
        <v>13</v>
      </c>
      <c r="B11" s="2">
        <v>898</v>
      </c>
      <c r="C11" s="3">
        <v>1279</v>
      </c>
      <c r="D11" s="3">
        <v>1836</v>
      </c>
      <c r="E11" s="3">
        <v>2496</v>
      </c>
      <c r="F11" s="3">
        <v>3995</v>
      </c>
      <c r="G11" s="3">
        <v>5264</v>
      </c>
      <c r="H11" s="3">
        <v>4420</v>
      </c>
      <c r="I11" s="3">
        <v>7028</v>
      </c>
      <c r="J11" s="3">
        <v>11508</v>
      </c>
      <c r="K11" s="3">
        <v>14451</v>
      </c>
      <c r="L11" s="3">
        <v>16779</v>
      </c>
      <c r="M11" s="3">
        <v>19332</v>
      </c>
    </row>
    <row r="12" spans="1:13" x14ac:dyDescent="0.3">
      <c r="A12" s="2" t="s">
        <v>6</v>
      </c>
      <c r="B12" s="2">
        <v>1.79</v>
      </c>
      <c r="C12" s="2">
        <v>2.37</v>
      </c>
      <c r="D12" s="2">
        <v>3.34</v>
      </c>
      <c r="E12" s="2">
        <v>4.32</v>
      </c>
      <c r="F12" s="2">
        <v>6.91</v>
      </c>
      <c r="G12" s="2">
        <v>8.75</v>
      </c>
      <c r="H12" s="2">
        <v>7.33</v>
      </c>
      <c r="I12" s="2">
        <v>11.61</v>
      </c>
      <c r="J12" s="2">
        <v>19.010000000000002</v>
      </c>
      <c r="K12" s="2">
        <v>23.35</v>
      </c>
      <c r="L12" s="2">
        <v>26.77</v>
      </c>
      <c r="M12" s="2">
        <v>30.56</v>
      </c>
    </row>
    <row r="13" spans="1:13" x14ac:dyDescent="0.3">
      <c r="A13" s="2" t="s">
        <v>14</v>
      </c>
      <c r="B13" s="4">
        <v>0.1</v>
      </c>
      <c r="C13" s="4">
        <v>0.1</v>
      </c>
      <c r="D13" s="4">
        <v>0.11</v>
      </c>
      <c r="E13" s="4">
        <v>0.09</v>
      </c>
      <c r="F13" s="4">
        <v>0.09</v>
      </c>
      <c r="G13" s="4">
        <v>0.11</v>
      </c>
      <c r="H13" s="4">
        <v>0.14000000000000001</v>
      </c>
      <c r="I13" s="4">
        <v>0.17</v>
      </c>
      <c r="J13" s="4">
        <v>0.16</v>
      </c>
      <c r="K13" s="4">
        <v>0.15</v>
      </c>
      <c r="L13" s="4">
        <v>0.21</v>
      </c>
      <c r="M13" s="4">
        <v>0.2</v>
      </c>
    </row>
    <row r="15" spans="1:13" ht="15.6" x14ac:dyDescent="0.3">
      <c r="A15" s="15" t="s">
        <v>15</v>
      </c>
      <c r="B15" s="16"/>
    </row>
    <row r="16" spans="1:13" x14ac:dyDescent="0.3">
      <c r="A16" s="2" t="s">
        <v>16</v>
      </c>
      <c r="B16" s="4">
        <v>0.27</v>
      </c>
    </row>
    <row r="17" spans="1:2" x14ac:dyDescent="0.3">
      <c r="A17" s="2" t="s">
        <v>17</v>
      </c>
      <c r="B17" s="4">
        <v>0.31</v>
      </c>
    </row>
    <row r="18" spans="1:2" x14ac:dyDescent="0.3">
      <c r="A18" s="2" t="s">
        <v>18</v>
      </c>
      <c r="B18" s="4">
        <v>0.28999999999999998</v>
      </c>
    </row>
    <row r="19" spans="1:2" x14ac:dyDescent="0.3">
      <c r="A19" s="2" t="s">
        <v>19</v>
      </c>
      <c r="B19" s="4">
        <v>0.19</v>
      </c>
    </row>
  </sheetData>
  <mergeCells count="1">
    <mergeCell ref="A15:B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BFB9-AD88-4BCB-9079-CB8A6868969D}">
  <dimension ref="A1:M11"/>
  <sheetViews>
    <sheetView workbookViewId="0">
      <selection activeCell="N1" sqref="N1"/>
    </sheetView>
  </sheetViews>
  <sheetFormatPr defaultRowHeight="14.4" x14ac:dyDescent="0.3"/>
  <cols>
    <col min="1" max="1" width="14.21875" bestFit="1" customWidth="1"/>
  </cols>
  <sheetData>
    <row r="1" spans="1:13" ht="15.6" x14ac:dyDescent="0.3">
      <c r="A1" s="6" t="s">
        <v>9</v>
      </c>
      <c r="B1" s="7">
        <v>42064</v>
      </c>
      <c r="C1" s="7">
        <v>42430</v>
      </c>
      <c r="D1" s="7">
        <v>42795</v>
      </c>
      <c r="E1" s="7">
        <v>43160</v>
      </c>
      <c r="F1" s="7">
        <v>43525</v>
      </c>
      <c r="G1" s="7">
        <v>43891</v>
      </c>
      <c r="H1" s="7">
        <v>44256</v>
      </c>
      <c r="I1" s="7">
        <v>44621</v>
      </c>
      <c r="J1" s="7">
        <v>44986</v>
      </c>
      <c r="K1" s="7">
        <v>45352</v>
      </c>
      <c r="L1" s="7">
        <v>45717</v>
      </c>
      <c r="M1" s="7">
        <v>46082</v>
      </c>
    </row>
    <row r="2" spans="1:13" x14ac:dyDescent="0.3">
      <c r="A2" s="2" t="s">
        <v>20</v>
      </c>
      <c r="B2" s="2">
        <v>50</v>
      </c>
      <c r="C2" s="2">
        <v>54</v>
      </c>
      <c r="D2" s="2">
        <v>109</v>
      </c>
      <c r="E2" s="2">
        <v>115</v>
      </c>
      <c r="F2" s="2">
        <v>115</v>
      </c>
      <c r="G2" s="2">
        <v>120</v>
      </c>
      <c r="H2" s="2">
        <v>120</v>
      </c>
      <c r="I2" s="2">
        <v>121</v>
      </c>
      <c r="J2" s="2">
        <v>121</v>
      </c>
      <c r="K2" s="2">
        <v>124</v>
      </c>
      <c r="L2" s="2">
        <v>124</v>
      </c>
      <c r="M2" s="2">
        <v>622</v>
      </c>
    </row>
    <row r="3" spans="1:13" x14ac:dyDescent="0.3">
      <c r="A3" s="2" t="s">
        <v>21</v>
      </c>
      <c r="B3" s="3">
        <v>4750</v>
      </c>
      <c r="C3" s="3">
        <v>7373</v>
      </c>
      <c r="D3" s="3">
        <v>9491</v>
      </c>
      <c r="E3" s="3">
        <v>15733</v>
      </c>
      <c r="F3" s="3">
        <v>19582</v>
      </c>
      <c r="G3" s="3">
        <v>32208</v>
      </c>
      <c r="H3" s="3">
        <v>36798</v>
      </c>
      <c r="I3" s="3">
        <v>43592</v>
      </c>
      <c r="J3" s="3">
        <v>54251</v>
      </c>
      <c r="K3" s="3">
        <v>76572</v>
      </c>
      <c r="L3" s="3">
        <v>96569</v>
      </c>
      <c r="M3" s="3">
        <v>113377</v>
      </c>
    </row>
    <row r="4" spans="1:13" x14ac:dyDescent="0.3">
      <c r="A4" s="2" t="s">
        <v>22</v>
      </c>
      <c r="B4" s="3">
        <v>26655</v>
      </c>
      <c r="C4" s="3">
        <v>37025</v>
      </c>
      <c r="D4" s="3">
        <v>49250</v>
      </c>
      <c r="E4" s="3">
        <v>66557</v>
      </c>
      <c r="F4" s="3">
        <v>101588</v>
      </c>
      <c r="G4" s="3">
        <v>129806</v>
      </c>
      <c r="H4" s="3">
        <v>131634</v>
      </c>
      <c r="I4" s="3">
        <v>165232</v>
      </c>
      <c r="J4" s="3">
        <v>216690</v>
      </c>
      <c r="K4" s="3">
        <v>293346</v>
      </c>
      <c r="L4" s="3">
        <v>361249</v>
      </c>
      <c r="M4" s="3">
        <v>435112</v>
      </c>
    </row>
    <row r="5" spans="1:13" x14ac:dyDescent="0.3">
      <c r="A5" s="2" t="s">
        <v>27</v>
      </c>
      <c r="B5" s="3">
        <v>1325</v>
      </c>
      <c r="C5" s="3">
        <v>2522</v>
      </c>
      <c r="D5" s="3">
        <v>4881</v>
      </c>
      <c r="E5" s="3">
        <v>2393</v>
      </c>
      <c r="F5" s="3">
        <v>2948</v>
      </c>
      <c r="G5" s="3">
        <v>2257</v>
      </c>
      <c r="H5" s="3">
        <v>2918</v>
      </c>
      <c r="I5" s="3">
        <v>3561</v>
      </c>
      <c r="J5" s="3">
        <v>4164</v>
      </c>
      <c r="K5" s="3">
        <v>5700</v>
      </c>
      <c r="L5" s="3">
        <v>8185</v>
      </c>
      <c r="M5" s="3">
        <v>10841</v>
      </c>
    </row>
    <row r="6" spans="1:13" x14ac:dyDescent="0.3">
      <c r="A6" s="2" t="s">
        <v>23</v>
      </c>
      <c r="B6" s="3">
        <v>32780</v>
      </c>
      <c r="C6" s="3">
        <v>46973</v>
      </c>
      <c r="D6" s="3">
        <v>63731</v>
      </c>
      <c r="E6" s="3">
        <v>84798</v>
      </c>
      <c r="F6" s="3">
        <v>124233</v>
      </c>
      <c r="G6" s="3">
        <v>164391</v>
      </c>
      <c r="H6" s="3">
        <v>171470</v>
      </c>
      <c r="I6" s="3">
        <v>212505</v>
      </c>
      <c r="J6" s="3">
        <v>275226</v>
      </c>
      <c r="K6" s="3">
        <v>375742</v>
      </c>
      <c r="L6" s="3">
        <v>466127</v>
      </c>
      <c r="M6" s="3">
        <v>559952</v>
      </c>
    </row>
    <row r="7" spans="1:13" x14ac:dyDescent="0.3">
      <c r="A7" s="2" t="s">
        <v>28</v>
      </c>
      <c r="B7" s="2">
        <v>252</v>
      </c>
      <c r="C7" s="2">
        <v>290</v>
      </c>
      <c r="D7" s="2">
        <v>366</v>
      </c>
      <c r="E7" s="2">
        <v>470</v>
      </c>
      <c r="F7" s="2">
        <v>695</v>
      </c>
      <c r="G7" s="3">
        <v>1321</v>
      </c>
      <c r="H7" s="3">
        <v>1316</v>
      </c>
      <c r="I7" s="3">
        <v>1716</v>
      </c>
      <c r="J7" s="3">
        <v>2308</v>
      </c>
      <c r="K7" s="3">
        <v>3250</v>
      </c>
      <c r="L7" s="3">
        <v>3780</v>
      </c>
      <c r="M7" s="3">
        <v>4004</v>
      </c>
    </row>
    <row r="8" spans="1:13" x14ac:dyDescent="0.3">
      <c r="A8" s="2" t="s">
        <v>24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51</v>
      </c>
      <c r="I8" s="2">
        <v>34</v>
      </c>
      <c r="J8" s="2">
        <v>80</v>
      </c>
      <c r="K8" s="2">
        <v>43</v>
      </c>
      <c r="L8" s="2">
        <v>41</v>
      </c>
      <c r="M8" s="2">
        <v>62</v>
      </c>
    </row>
    <row r="9" spans="1:13" x14ac:dyDescent="0.3">
      <c r="A9" s="2" t="s">
        <v>25</v>
      </c>
      <c r="B9" s="2">
        <v>326</v>
      </c>
      <c r="C9" s="3">
        <v>1029</v>
      </c>
      <c r="D9" s="3">
        <v>4070</v>
      </c>
      <c r="E9" s="3">
        <v>3139</v>
      </c>
      <c r="F9" s="3">
        <v>8599</v>
      </c>
      <c r="G9" s="3">
        <v>17544</v>
      </c>
      <c r="H9" s="3">
        <v>18397</v>
      </c>
      <c r="I9" s="3">
        <v>12246</v>
      </c>
      <c r="J9" s="3">
        <v>22752</v>
      </c>
      <c r="K9" s="3">
        <v>30881</v>
      </c>
      <c r="L9" s="3">
        <v>34441</v>
      </c>
      <c r="M9" s="3">
        <v>30578</v>
      </c>
    </row>
    <row r="10" spans="1:13" x14ac:dyDescent="0.3">
      <c r="A10" s="2" t="s">
        <v>29</v>
      </c>
      <c r="B10" s="3">
        <v>32201</v>
      </c>
      <c r="C10" s="3">
        <v>45654</v>
      </c>
      <c r="D10" s="3">
        <v>59295</v>
      </c>
      <c r="E10" s="3">
        <v>81189</v>
      </c>
      <c r="F10" s="3">
        <v>114939</v>
      </c>
      <c r="G10" s="3">
        <v>145526</v>
      </c>
      <c r="H10" s="3">
        <v>151707</v>
      </c>
      <c r="I10" s="3">
        <v>198509</v>
      </c>
      <c r="J10" s="3">
        <v>250087</v>
      </c>
      <c r="K10" s="3">
        <v>341568</v>
      </c>
      <c r="L10" s="3">
        <v>427865</v>
      </c>
      <c r="M10" s="3">
        <v>525309</v>
      </c>
    </row>
    <row r="11" spans="1:13" x14ac:dyDescent="0.3">
      <c r="A11" s="2" t="s">
        <v>26</v>
      </c>
      <c r="B11" s="3">
        <v>32780</v>
      </c>
      <c r="C11" s="3">
        <v>46973</v>
      </c>
      <c r="D11" s="3">
        <v>63731</v>
      </c>
      <c r="E11" s="3">
        <v>84798</v>
      </c>
      <c r="F11" s="3">
        <v>124233</v>
      </c>
      <c r="G11" s="3">
        <v>164391</v>
      </c>
      <c r="H11" s="3">
        <v>171470</v>
      </c>
      <c r="I11" s="3">
        <v>212505</v>
      </c>
      <c r="J11" s="3">
        <v>275226</v>
      </c>
      <c r="K11" s="3">
        <v>375742</v>
      </c>
      <c r="L11" s="3">
        <v>466127</v>
      </c>
      <c r="M11" s="3">
        <v>559952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CA65-8ABC-4C7F-B512-B17D567B5FC1}">
  <dimension ref="A1:M7"/>
  <sheetViews>
    <sheetView workbookViewId="0">
      <selection activeCell="A11" sqref="A11"/>
    </sheetView>
  </sheetViews>
  <sheetFormatPr defaultRowHeight="14.4" x14ac:dyDescent="0.3"/>
  <cols>
    <col min="1" max="1" width="25" bestFit="1" customWidth="1"/>
  </cols>
  <sheetData>
    <row r="1" spans="1:13" ht="15.6" x14ac:dyDescent="0.3">
      <c r="A1" s="6" t="s">
        <v>9</v>
      </c>
      <c r="B1" s="7">
        <v>42064</v>
      </c>
      <c r="C1" s="7">
        <v>42430</v>
      </c>
      <c r="D1" s="7">
        <v>42795</v>
      </c>
      <c r="E1" s="7">
        <v>43160</v>
      </c>
      <c r="F1" s="7">
        <v>43525</v>
      </c>
      <c r="G1" s="7">
        <v>43891</v>
      </c>
      <c r="H1" s="7">
        <v>44256</v>
      </c>
      <c r="I1" s="7">
        <v>44621</v>
      </c>
      <c r="J1" s="7">
        <v>44986</v>
      </c>
      <c r="K1" s="7">
        <v>45352</v>
      </c>
      <c r="L1" s="7">
        <v>45717</v>
      </c>
      <c r="M1" s="7">
        <v>46082</v>
      </c>
    </row>
    <row r="2" spans="1:13" x14ac:dyDescent="0.3">
      <c r="A2" s="2" t="s">
        <v>33</v>
      </c>
      <c r="B2" s="3">
        <v>-7064</v>
      </c>
      <c r="C2" s="3">
        <v>-9870</v>
      </c>
      <c r="D2" s="3">
        <v>-10439</v>
      </c>
      <c r="E2" s="3">
        <v>-20566</v>
      </c>
      <c r="F2" s="3">
        <v>-29062</v>
      </c>
      <c r="G2" s="3">
        <v>-24412</v>
      </c>
      <c r="H2" s="2">
        <v>-807</v>
      </c>
      <c r="I2" s="3">
        <v>-37029</v>
      </c>
      <c r="J2" s="3">
        <v>-42112</v>
      </c>
      <c r="K2" s="3">
        <v>-72760</v>
      </c>
      <c r="L2" s="3">
        <v>-68154</v>
      </c>
      <c r="M2" s="3">
        <v>-65790</v>
      </c>
    </row>
    <row r="3" spans="1:13" x14ac:dyDescent="0.3">
      <c r="A3" s="2" t="s">
        <v>34</v>
      </c>
      <c r="B3" s="2">
        <v>-360</v>
      </c>
      <c r="C3" s="2">
        <v>-687</v>
      </c>
      <c r="D3" s="3">
        <v>-3047</v>
      </c>
      <c r="E3" s="3">
        <v>1075</v>
      </c>
      <c r="F3" s="3">
        <v>-5379</v>
      </c>
      <c r="G3" s="3">
        <v>-8758</v>
      </c>
      <c r="H3" s="2">
        <v>-429</v>
      </c>
      <c r="I3" s="3">
        <v>6347</v>
      </c>
      <c r="J3" s="3">
        <v>-10394</v>
      </c>
      <c r="K3" s="3">
        <v>-7171</v>
      </c>
      <c r="L3" s="3">
        <v>-2765</v>
      </c>
      <c r="M3" s="3">
        <v>-3389</v>
      </c>
    </row>
    <row r="4" spans="1:13" x14ac:dyDescent="0.3">
      <c r="A4" s="2" t="s">
        <v>35</v>
      </c>
      <c r="B4" s="3">
        <v>6867</v>
      </c>
      <c r="C4" s="3">
        <v>11656</v>
      </c>
      <c r="D4" s="3">
        <v>12513</v>
      </c>
      <c r="E4" s="3">
        <v>19503</v>
      </c>
      <c r="F4" s="3">
        <v>34449</v>
      </c>
      <c r="G4" s="3">
        <v>34167</v>
      </c>
      <c r="H4" s="3">
        <v>1741</v>
      </c>
      <c r="I4" s="3">
        <v>32240</v>
      </c>
      <c r="J4" s="3">
        <v>50675</v>
      </c>
      <c r="K4" s="3">
        <v>82415</v>
      </c>
      <c r="L4" s="3">
        <v>70527</v>
      </c>
      <c r="M4" s="3">
        <v>67433</v>
      </c>
    </row>
    <row r="5" spans="1:13" x14ac:dyDescent="0.3">
      <c r="A5" s="2" t="s">
        <v>30</v>
      </c>
      <c r="B5" s="2">
        <v>-557</v>
      </c>
      <c r="C5" s="3">
        <v>1100</v>
      </c>
      <c r="D5" s="2">
        <v>-972</v>
      </c>
      <c r="E5" s="2">
        <v>13</v>
      </c>
      <c r="F5" s="2">
        <v>9</v>
      </c>
      <c r="G5" s="2">
        <v>998</v>
      </c>
      <c r="H5" s="2">
        <v>505</v>
      </c>
      <c r="I5" s="3">
        <v>1558</v>
      </c>
      <c r="J5" s="3">
        <v>-1831</v>
      </c>
      <c r="K5" s="3">
        <v>2484</v>
      </c>
      <c r="L5" s="2">
        <v>-392</v>
      </c>
      <c r="M5" s="3">
        <v>-1746</v>
      </c>
    </row>
    <row r="6" spans="1:13" x14ac:dyDescent="0.3">
      <c r="A6" s="2" t="s">
        <v>31</v>
      </c>
      <c r="B6" s="3">
        <v>-7129</v>
      </c>
      <c r="C6" s="3">
        <v>-9964</v>
      </c>
      <c r="D6" s="3">
        <v>-10587</v>
      </c>
      <c r="E6" s="3">
        <v>-20700</v>
      </c>
      <c r="F6" s="3">
        <v>-29428</v>
      </c>
      <c r="G6" s="3">
        <v>-24912</v>
      </c>
      <c r="H6" s="3">
        <v>-1105</v>
      </c>
      <c r="I6" s="3">
        <v>-37644</v>
      </c>
      <c r="J6" s="3">
        <v>-42970</v>
      </c>
      <c r="K6" s="3">
        <v>-73759</v>
      </c>
      <c r="L6" s="3">
        <v>-69200</v>
      </c>
      <c r="M6" s="3">
        <v>-66686</v>
      </c>
    </row>
    <row r="7" spans="1:13" x14ac:dyDescent="0.3">
      <c r="A7" s="2" t="s">
        <v>32</v>
      </c>
      <c r="B7" s="4">
        <v>-1.81</v>
      </c>
      <c r="C7" s="4">
        <v>-1.85</v>
      </c>
      <c r="D7" s="4">
        <v>-1.4</v>
      </c>
      <c r="E7" s="4">
        <v>-2.21</v>
      </c>
      <c r="F7" s="4">
        <v>-2.06</v>
      </c>
      <c r="G7" s="4">
        <v>-1.29</v>
      </c>
      <c r="H7" s="4">
        <v>0.04</v>
      </c>
      <c r="I7" s="4">
        <v>-1.74</v>
      </c>
      <c r="J7" s="4">
        <v>-1.33</v>
      </c>
      <c r="K7" s="4">
        <v>-1.74</v>
      </c>
      <c r="L7" s="4">
        <v>-1.3</v>
      </c>
      <c r="M7" s="4">
        <v>-1.06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8D63-282C-4CB1-928A-DB9B87DAB274}">
  <dimension ref="A1:M2"/>
  <sheetViews>
    <sheetView tabSelected="1" workbookViewId="0">
      <selection activeCell="F7" sqref="F7"/>
    </sheetView>
  </sheetViews>
  <sheetFormatPr defaultRowHeight="14.4" x14ac:dyDescent="0.3"/>
  <sheetData>
    <row r="1" spans="1:13" ht="15.6" x14ac:dyDescent="0.3">
      <c r="A1" s="8" t="s">
        <v>9</v>
      </c>
      <c r="B1" s="9">
        <v>42064</v>
      </c>
      <c r="C1" s="9">
        <v>42430</v>
      </c>
      <c r="D1" s="9">
        <v>42795</v>
      </c>
      <c r="E1" s="9">
        <v>43160</v>
      </c>
      <c r="F1" s="9">
        <v>43525</v>
      </c>
      <c r="G1" s="9">
        <v>43891</v>
      </c>
      <c r="H1" s="9">
        <v>44256</v>
      </c>
      <c r="I1" s="9">
        <v>44621</v>
      </c>
      <c r="J1" s="9">
        <v>44986</v>
      </c>
      <c r="K1" s="9">
        <v>45352</v>
      </c>
      <c r="L1" s="9">
        <v>45717</v>
      </c>
      <c r="M1" s="9">
        <v>46082</v>
      </c>
    </row>
    <row r="2" spans="1:13" x14ac:dyDescent="0.3">
      <c r="A2" s="2" t="s">
        <v>36</v>
      </c>
      <c r="B2" s="4">
        <v>0.19</v>
      </c>
      <c r="C2" s="4">
        <v>0.21</v>
      </c>
      <c r="D2" s="4">
        <v>0.22</v>
      </c>
      <c r="E2" s="4">
        <v>0.2</v>
      </c>
      <c r="F2" s="4">
        <v>0.22</v>
      </c>
      <c r="G2" s="4">
        <v>0.2</v>
      </c>
      <c r="H2" s="4">
        <v>0.13</v>
      </c>
      <c r="I2" s="4">
        <v>0.17</v>
      </c>
      <c r="J2" s="4">
        <v>0.23</v>
      </c>
      <c r="K2" s="4">
        <v>0.22</v>
      </c>
      <c r="L2" s="4">
        <v>0.19</v>
      </c>
      <c r="M2" s="4">
        <v>0.18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0F7A-5AB8-4EE5-8FA6-9D614B33F467}">
  <dimension ref="A1:L5"/>
  <sheetViews>
    <sheetView workbookViewId="0">
      <selection activeCell="A8" sqref="A8"/>
    </sheetView>
  </sheetViews>
  <sheetFormatPr defaultRowHeight="14.4" x14ac:dyDescent="0.3"/>
  <cols>
    <col min="1" max="1" width="24.5546875" bestFit="1" customWidth="1"/>
  </cols>
  <sheetData>
    <row r="1" spans="1:12" ht="15.6" x14ac:dyDescent="0.3">
      <c r="A1" s="6" t="s">
        <v>9</v>
      </c>
      <c r="B1" s="7">
        <v>42430</v>
      </c>
      <c r="C1" s="7">
        <v>42795</v>
      </c>
      <c r="D1" s="7">
        <v>43160</v>
      </c>
      <c r="E1" s="7">
        <v>43525</v>
      </c>
      <c r="F1" s="7">
        <v>43891</v>
      </c>
      <c r="G1" s="7">
        <v>44256</v>
      </c>
      <c r="H1" s="7">
        <v>44621</v>
      </c>
      <c r="I1" s="7">
        <v>44986</v>
      </c>
      <c r="J1" s="7">
        <v>45352</v>
      </c>
      <c r="K1" s="7">
        <v>45717</v>
      </c>
      <c r="L1" s="7">
        <v>46082</v>
      </c>
    </row>
    <row r="2" spans="1:12" ht="28.8" customHeight="1" x14ac:dyDescent="0.3">
      <c r="A2" s="2" t="s">
        <v>37</v>
      </c>
      <c r="B2" s="2">
        <v>16.100000000000001</v>
      </c>
      <c r="C2" s="2">
        <v>20.100000000000001</v>
      </c>
      <c r="D2" s="2">
        <v>26.2</v>
      </c>
      <c r="E2" s="2">
        <v>34.5</v>
      </c>
      <c r="F2" s="2">
        <v>42.6</v>
      </c>
      <c r="G2" s="2">
        <v>48.6</v>
      </c>
      <c r="H2" s="2">
        <v>57.6</v>
      </c>
      <c r="I2" s="2">
        <v>69.099999999999994</v>
      </c>
      <c r="J2" s="2">
        <v>83.6</v>
      </c>
      <c r="K2" s="2">
        <v>101.8</v>
      </c>
      <c r="L2" s="2">
        <v>119.3</v>
      </c>
    </row>
    <row r="3" spans="1:12" ht="28.8" customHeight="1" x14ac:dyDescent="0.3">
      <c r="A3" s="10" t="s">
        <v>38</v>
      </c>
      <c r="B3" s="2">
        <v>6.8</v>
      </c>
      <c r="C3" s="2">
        <v>10.1</v>
      </c>
      <c r="D3" s="2">
        <v>15.3</v>
      </c>
      <c r="E3" s="2">
        <v>23.5</v>
      </c>
      <c r="F3" s="2">
        <v>27.4</v>
      </c>
      <c r="G3" s="2">
        <v>16.899999999999999</v>
      </c>
      <c r="H3" s="2">
        <v>24.7</v>
      </c>
      <c r="I3" s="2">
        <v>29.6</v>
      </c>
      <c r="J3" s="2">
        <v>36.200000000000003</v>
      </c>
      <c r="K3" s="2">
        <v>43.4</v>
      </c>
      <c r="L3" s="2">
        <v>52.5</v>
      </c>
    </row>
    <row r="4" spans="1:12" ht="28.8" customHeight="1" x14ac:dyDescent="0.3">
      <c r="A4" s="10" t="s">
        <v>39</v>
      </c>
      <c r="B4" s="2"/>
      <c r="C4" s="2"/>
      <c r="D4" s="2">
        <v>15.4</v>
      </c>
      <c r="E4" s="2">
        <v>20.7</v>
      </c>
      <c r="F4" s="2">
        <v>24.1</v>
      </c>
      <c r="G4" s="2">
        <v>26.9</v>
      </c>
      <c r="H4" s="2">
        <v>32.799999999999997</v>
      </c>
      <c r="I4" s="2">
        <v>40.6</v>
      </c>
      <c r="J4" s="2">
        <v>50.8</v>
      </c>
      <c r="K4" s="2">
        <v>64.45</v>
      </c>
      <c r="L4" s="2">
        <v>75.5</v>
      </c>
    </row>
    <row r="5" spans="1:12" ht="28.8" customHeight="1" x14ac:dyDescent="0.3">
      <c r="A5" s="10" t="s">
        <v>40</v>
      </c>
      <c r="B5" s="2"/>
      <c r="C5" s="2"/>
      <c r="D5" s="2"/>
      <c r="E5" s="2"/>
      <c r="F5" s="2"/>
      <c r="G5" s="2"/>
      <c r="H5" s="2">
        <v>4.07</v>
      </c>
      <c r="I5" s="2">
        <v>4.8600000000000003</v>
      </c>
      <c r="J5" s="2">
        <v>5.65</v>
      </c>
      <c r="K5" s="2">
        <v>6.05</v>
      </c>
      <c r="L5" s="2">
        <v>6.07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772E-E99F-4B50-B14D-F5A2BC3B2EFA}">
  <dimension ref="A1:M8"/>
  <sheetViews>
    <sheetView workbookViewId="0">
      <selection activeCell="E16" sqref="E16"/>
    </sheetView>
  </sheetViews>
  <sheetFormatPr defaultRowHeight="14.4" x14ac:dyDescent="0.3"/>
  <cols>
    <col min="1" max="1" width="17.44140625" bestFit="1" customWidth="1"/>
  </cols>
  <sheetData>
    <row r="1" spans="1:13" ht="15.6" x14ac:dyDescent="0.3">
      <c r="A1" s="6" t="s">
        <v>9</v>
      </c>
      <c r="B1" s="7">
        <v>45078</v>
      </c>
      <c r="C1" s="7">
        <v>45170</v>
      </c>
      <c r="D1" s="7">
        <v>45261</v>
      </c>
      <c r="E1" s="7">
        <v>45352</v>
      </c>
      <c r="F1" s="7">
        <v>45444</v>
      </c>
      <c r="G1" s="7">
        <v>45536</v>
      </c>
      <c r="H1" s="7">
        <v>45627</v>
      </c>
      <c r="I1" s="7">
        <v>45717</v>
      </c>
      <c r="J1" s="7">
        <v>45809</v>
      </c>
      <c r="K1" s="7">
        <v>45901</v>
      </c>
      <c r="L1" s="7">
        <v>45992</v>
      </c>
      <c r="M1" s="7">
        <v>46082</v>
      </c>
    </row>
    <row r="2" spans="1:13" x14ac:dyDescent="0.3">
      <c r="A2" s="2" t="s">
        <v>42</v>
      </c>
      <c r="B2" s="5">
        <v>0.55869999999999997</v>
      </c>
      <c r="C2" s="5">
        <v>0.55869999999999997</v>
      </c>
      <c r="D2" s="5">
        <v>0.54779999999999995</v>
      </c>
      <c r="E2" s="5">
        <v>0.54690000000000005</v>
      </c>
      <c r="F2" s="5">
        <v>0.54700000000000004</v>
      </c>
      <c r="G2" s="5">
        <v>0.54700000000000004</v>
      </c>
      <c r="H2" s="5">
        <v>0.54700000000000004</v>
      </c>
      <c r="I2" s="5">
        <v>0.54730000000000001</v>
      </c>
      <c r="J2" s="5">
        <v>0.54730000000000001</v>
      </c>
      <c r="K2" s="5">
        <v>0.54669999999999996</v>
      </c>
      <c r="L2" s="5">
        <v>0.54700000000000004</v>
      </c>
      <c r="M2" s="5">
        <v>0.54710000000000003</v>
      </c>
    </row>
    <row r="3" spans="1:13" x14ac:dyDescent="0.3">
      <c r="A3" s="2" t="s">
        <v>43</v>
      </c>
      <c r="B3" s="5">
        <v>0.2009</v>
      </c>
      <c r="C3" s="5">
        <v>0.2041</v>
      </c>
      <c r="D3" s="5">
        <v>0.2092</v>
      </c>
      <c r="E3" s="5">
        <v>0.20549999999999999</v>
      </c>
      <c r="F3" s="5">
        <v>0.21079999999999999</v>
      </c>
      <c r="G3" s="5">
        <v>0.20810000000000001</v>
      </c>
      <c r="H3" s="5">
        <v>0.2079</v>
      </c>
      <c r="I3" s="5">
        <v>0.2145</v>
      </c>
      <c r="J3" s="5">
        <v>0.21709999999999999</v>
      </c>
      <c r="K3" s="5">
        <v>0.21970000000000001</v>
      </c>
      <c r="L3" s="5">
        <v>0.21490000000000001</v>
      </c>
      <c r="M3" s="5">
        <v>0.21329999999999999</v>
      </c>
    </row>
    <row r="4" spans="1:13" x14ac:dyDescent="0.3">
      <c r="A4" s="2" t="s">
        <v>44</v>
      </c>
      <c r="B4" s="5">
        <v>0.1283</v>
      </c>
      <c r="C4" s="5">
        <v>0.1305</v>
      </c>
      <c r="D4" s="5">
        <v>0.1401</v>
      </c>
      <c r="E4" s="5">
        <v>0.14330000000000001</v>
      </c>
      <c r="F4" s="5">
        <v>0.14230000000000001</v>
      </c>
      <c r="G4" s="5">
        <v>0.15010000000000001</v>
      </c>
      <c r="H4" s="5">
        <v>0.15079999999999999</v>
      </c>
      <c r="I4" s="5">
        <v>0.14779999999999999</v>
      </c>
      <c r="J4" s="5">
        <v>0.1452</v>
      </c>
      <c r="K4" s="5">
        <v>0.1439</v>
      </c>
      <c r="L4" s="5">
        <v>0.14860000000000001</v>
      </c>
      <c r="M4" s="5">
        <v>0.151</v>
      </c>
    </row>
    <row r="5" spans="1:13" x14ac:dyDescent="0.3">
      <c r="A5" s="2" t="s">
        <v>45</v>
      </c>
      <c r="B5" s="5">
        <v>6.9999999999999999E-4</v>
      </c>
      <c r="C5" s="5">
        <v>6.9999999999999999E-4</v>
      </c>
      <c r="D5" s="5">
        <v>6.9999999999999999E-4</v>
      </c>
      <c r="E5" s="5">
        <v>6.9999999999999999E-4</v>
      </c>
      <c r="F5" s="5">
        <v>8.9999999999999998E-4</v>
      </c>
      <c r="G5" s="5">
        <v>8.9999999999999998E-4</v>
      </c>
      <c r="H5" s="5">
        <v>8.0000000000000004E-4</v>
      </c>
      <c r="I5" s="5">
        <v>8.0000000000000004E-4</v>
      </c>
      <c r="J5" s="5">
        <v>8.0000000000000004E-4</v>
      </c>
      <c r="K5" s="5">
        <v>8.0000000000000004E-4</v>
      </c>
      <c r="L5" s="5">
        <v>8.0000000000000004E-4</v>
      </c>
      <c r="M5" s="5">
        <v>8.0000000000000004E-4</v>
      </c>
    </row>
    <row r="6" spans="1:13" x14ac:dyDescent="0.3">
      <c r="A6" s="2" t="s">
        <v>46</v>
      </c>
      <c r="B6" s="5">
        <v>0.1099</v>
      </c>
      <c r="C6" s="5">
        <v>0.105</v>
      </c>
      <c r="D6" s="5">
        <v>0.1017</v>
      </c>
      <c r="E6" s="5">
        <v>0.1019</v>
      </c>
      <c r="F6" s="5">
        <v>9.8299999999999998E-2</v>
      </c>
      <c r="G6" s="5">
        <v>9.3600000000000003E-2</v>
      </c>
      <c r="H6" s="5">
        <v>9.3200000000000005E-2</v>
      </c>
      <c r="I6" s="5">
        <v>8.8400000000000006E-2</v>
      </c>
      <c r="J6" s="5">
        <v>8.9200000000000002E-2</v>
      </c>
      <c r="K6" s="5">
        <v>8.7800000000000003E-2</v>
      </c>
      <c r="L6" s="5">
        <v>8.77E-2</v>
      </c>
      <c r="M6" s="5">
        <v>8.7300000000000003E-2</v>
      </c>
    </row>
    <row r="7" spans="1:13" x14ac:dyDescent="0.3">
      <c r="A7" s="2" t="s">
        <v>47</v>
      </c>
      <c r="B7" s="5">
        <v>1.2999999999999999E-3</v>
      </c>
      <c r="C7" s="5">
        <v>1E-3</v>
      </c>
      <c r="D7" s="5">
        <v>5.0000000000000001E-4</v>
      </c>
      <c r="E7" s="5">
        <v>1.6000000000000001E-3</v>
      </c>
      <c r="F7" s="5">
        <v>8.0000000000000004E-4</v>
      </c>
      <c r="G7" s="5">
        <v>5.0000000000000001E-4</v>
      </c>
      <c r="H7" s="5">
        <v>4.0000000000000002E-4</v>
      </c>
      <c r="I7" s="5">
        <v>1E-3</v>
      </c>
      <c r="J7" s="5">
        <v>2.9999999999999997E-4</v>
      </c>
      <c r="K7" s="5">
        <v>1.1999999999999999E-3</v>
      </c>
      <c r="L7" s="5">
        <v>1E-3</v>
      </c>
      <c r="M7" s="5">
        <v>6.9999999999999999E-4</v>
      </c>
    </row>
    <row r="8" spans="1:13" x14ac:dyDescent="0.3">
      <c r="A8" s="2" t="s">
        <v>41</v>
      </c>
      <c r="B8" s="3">
        <v>784883</v>
      </c>
      <c r="C8" s="3">
        <v>726583</v>
      </c>
      <c r="D8" s="3">
        <v>745040</v>
      </c>
      <c r="E8" s="3">
        <v>799199</v>
      </c>
      <c r="F8" s="3">
        <v>805241</v>
      </c>
      <c r="G8" s="3">
        <v>781913</v>
      </c>
      <c r="H8" s="3">
        <v>791392</v>
      </c>
      <c r="I8" s="3">
        <v>705610</v>
      </c>
      <c r="J8" s="3">
        <v>899777</v>
      </c>
      <c r="K8" s="3">
        <v>941999</v>
      </c>
      <c r="L8" s="3">
        <v>961994</v>
      </c>
      <c r="M8" s="3">
        <v>1002945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BA86-E7F5-4A5A-B87B-048642069B22}">
  <dimension ref="A1:F16"/>
  <sheetViews>
    <sheetView workbookViewId="0">
      <selection activeCell="F2" activeCellId="1" sqref="A2:A16 F2:F16"/>
    </sheetView>
  </sheetViews>
  <sheetFormatPr defaultRowHeight="14.4" x14ac:dyDescent="0.3"/>
  <cols>
    <col min="1" max="1" width="27" bestFit="1" customWidth="1"/>
    <col min="2" max="3" width="12.88671875" bestFit="1" customWidth="1"/>
    <col min="4" max="4" width="12.109375" bestFit="1" customWidth="1"/>
    <col min="5" max="6" width="20.33203125" bestFit="1" customWidth="1"/>
  </cols>
  <sheetData>
    <row r="1" spans="1:6" ht="15.6" x14ac:dyDescent="0.3">
      <c r="A1" s="6" t="s">
        <v>9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</row>
    <row r="2" spans="1:6" x14ac:dyDescent="0.3">
      <c r="A2" s="2" t="s">
        <v>53</v>
      </c>
      <c r="B2" s="2">
        <v>10691</v>
      </c>
      <c r="C2" s="2">
        <v>4288</v>
      </c>
      <c r="D2" s="4">
        <v>-0.6</v>
      </c>
      <c r="E2" s="5">
        <v>2.5000000000000001E-2</v>
      </c>
      <c r="F2" s="5">
        <v>8.0000000000000002E-3</v>
      </c>
    </row>
    <row r="3" spans="1:6" x14ac:dyDescent="0.3">
      <c r="A3" s="2" t="s">
        <v>54</v>
      </c>
      <c r="B3" s="2">
        <v>6628</v>
      </c>
      <c r="C3" s="2">
        <v>8325</v>
      </c>
      <c r="D3" s="4">
        <v>0.26</v>
      </c>
      <c r="E3" s="5">
        <v>1.6E-2</v>
      </c>
      <c r="F3" s="5">
        <v>1.6E-2</v>
      </c>
    </row>
    <row r="4" spans="1:6" x14ac:dyDescent="0.3">
      <c r="A4" s="2" t="s">
        <v>55</v>
      </c>
      <c r="B4" s="2">
        <v>29109</v>
      </c>
      <c r="C4" s="2">
        <v>37430</v>
      </c>
      <c r="D4" s="4">
        <v>0.28999999999999998</v>
      </c>
      <c r="E4" s="5">
        <v>7.0000000000000007E-2</v>
      </c>
      <c r="F4" s="5">
        <v>7.2999999999999995E-2</v>
      </c>
    </row>
    <row r="5" spans="1:6" x14ac:dyDescent="0.3">
      <c r="A5" s="2" t="s">
        <v>56</v>
      </c>
      <c r="B5" s="2">
        <v>87696</v>
      </c>
      <c r="C5" s="2">
        <v>104485</v>
      </c>
      <c r="D5" s="4">
        <v>0.19</v>
      </c>
      <c r="E5" s="5">
        <v>0.21</v>
      </c>
      <c r="F5" s="5">
        <v>0.20499999999999999</v>
      </c>
    </row>
    <row r="6" spans="1:6" x14ac:dyDescent="0.3">
      <c r="A6" s="2" t="s">
        <v>57</v>
      </c>
      <c r="B6" s="2">
        <v>7944</v>
      </c>
      <c r="C6" s="2">
        <v>10559</v>
      </c>
      <c r="D6" s="4">
        <v>0.33</v>
      </c>
      <c r="E6" s="5">
        <v>1.9E-2</v>
      </c>
      <c r="F6" s="5">
        <v>2.1000000000000001E-2</v>
      </c>
    </row>
    <row r="7" spans="1:6" x14ac:dyDescent="0.3">
      <c r="A7" s="2" t="s">
        <v>58</v>
      </c>
      <c r="B7" s="2">
        <v>20209</v>
      </c>
      <c r="C7" s="2">
        <v>25234</v>
      </c>
      <c r="D7" s="4">
        <v>0.25</v>
      </c>
      <c r="E7" s="5">
        <v>4.9000000000000002E-2</v>
      </c>
      <c r="F7" s="5">
        <v>0.05</v>
      </c>
    </row>
    <row r="8" spans="1:6" x14ac:dyDescent="0.3">
      <c r="A8" s="2" t="s">
        <v>59</v>
      </c>
      <c r="B8" s="2">
        <v>1258</v>
      </c>
      <c r="C8" s="2">
        <v>2198</v>
      </c>
      <c r="D8" s="4">
        <v>0.75</v>
      </c>
      <c r="E8" s="5">
        <v>3.0000000000000001E-3</v>
      </c>
      <c r="F8" s="5">
        <v>4.0000000000000001E-3</v>
      </c>
    </row>
    <row r="9" spans="1:6" x14ac:dyDescent="0.3">
      <c r="A9" s="2" t="s">
        <v>60</v>
      </c>
      <c r="B9" s="2">
        <v>8307</v>
      </c>
      <c r="C9" s="2">
        <v>17831</v>
      </c>
      <c r="D9" s="5">
        <v>1.1499999999999999</v>
      </c>
      <c r="E9" s="5">
        <v>0.02</v>
      </c>
      <c r="F9" s="5">
        <v>3.5000000000000003E-2</v>
      </c>
    </row>
    <row r="10" spans="1:6" x14ac:dyDescent="0.3">
      <c r="A10" s="2" t="s">
        <v>61</v>
      </c>
      <c r="B10" s="2">
        <v>48698</v>
      </c>
      <c r="C10" s="2">
        <v>51570</v>
      </c>
      <c r="D10" s="4">
        <v>0.06</v>
      </c>
      <c r="E10" s="5">
        <v>0.11700000000000001</v>
      </c>
      <c r="F10" s="5">
        <v>0.10100000000000001</v>
      </c>
    </row>
    <row r="11" spans="1:6" x14ac:dyDescent="0.3">
      <c r="A11" s="2" t="s">
        <v>62</v>
      </c>
      <c r="B11" s="2">
        <v>1647</v>
      </c>
      <c r="C11" s="2">
        <v>3881</v>
      </c>
      <c r="D11" s="4">
        <v>1.36</v>
      </c>
      <c r="E11" s="5">
        <v>4.0000000000000001E-3</v>
      </c>
      <c r="F11" s="5">
        <v>8.9999999999999993E-3</v>
      </c>
    </row>
    <row r="12" spans="1:6" x14ac:dyDescent="0.3">
      <c r="A12" s="2" t="s">
        <v>63</v>
      </c>
      <c r="B12" s="2">
        <v>11876</v>
      </c>
      <c r="C12" s="2">
        <v>15011</v>
      </c>
      <c r="D12" s="4">
        <v>0.26</v>
      </c>
      <c r="E12" s="5">
        <v>2.8000000000000001E-2</v>
      </c>
      <c r="F12" s="5">
        <v>2.9000000000000001E-2</v>
      </c>
    </row>
    <row r="13" spans="1:6" x14ac:dyDescent="0.3">
      <c r="A13" s="2" t="s">
        <v>64</v>
      </c>
      <c r="B13" s="2">
        <v>27760</v>
      </c>
      <c r="C13" s="2">
        <v>33839</v>
      </c>
      <c r="D13" s="4">
        <v>0.22</v>
      </c>
      <c r="E13" s="5">
        <v>6.7000000000000004E-2</v>
      </c>
      <c r="F13" s="5">
        <v>6.6000000000000003E-2</v>
      </c>
    </row>
    <row r="14" spans="1:6" x14ac:dyDescent="0.3">
      <c r="A14" s="2" t="s">
        <v>65</v>
      </c>
      <c r="B14" s="2">
        <v>25377</v>
      </c>
      <c r="C14" s="2">
        <v>33247</v>
      </c>
      <c r="D14" s="4">
        <v>0.31</v>
      </c>
      <c r="E14" s="5">
        <v>6.0999999999999999E-2</v>
      </c>
      <c r="F14" s="5">
        <v>6.5000000000000002E-2</v>
      </c>
    </row>
    <row r="15" spans="1:6" x14ac:dyDescent="0.3">
      <c r="A15" s="2" t="s">
        <v>66</v>
      </c>
      <c r="B15" s="2">
        <v>129461</v>
      </c>
      <c r="C15" s="2">
        <v>162077</v>
      </c>
      <c r="D15" s="4">
        <v>0.25</v>
      </c>
      <c r="E15" s="5">
        <v>0.311</v>
      </c>
      <c r="F15" s="5">
        <v>0.318</v>
      </c>
    </row>
    <row r="16" spans="1:6" x14ac:dyDescent="0.3">
      <c r="A16" s="2" t="s">
        <v>67</v>
      </c>
      <c r="B16" s="2">
        <v>416661</v>
      </c>
      <c r="C16" s="2">
        <v>509975</v>
      </c>
      <c r="D16" s="4">
        <v>0.22</v>
      </c>
      <c r="E16" s="5">
        <v>1</v>
      </c>
      <c r="F16" s="5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EFF6-DD92-421F-82F2-0AE3B375A396}">
  <dimension ref="A1:D13"/>
  <sheetViews>
    <sheetView workbookViewId="0">
      <selection activeCell="A15" sqref="A15"/>
    </sheetView>
  </sheetViews>
  <sheetFormatPr defaultRowHeight="14.4" x14ac:dyDescent="0.3"/>
  <cols>
    <col min="1" max="1" width="33.6640625" bestFit="1" customWidth="1"/>
    <col min="2" max="2" width="20.21875" bestFit="1" customWidth="1"/>
    <col min="3" max="3" width="19.44140625" bestFit="1" customWidth="1"/>
    <col min="4" max="4" width="6.77734375" bestFit="1" customWidth="1"/>
  </cols>
  <sheetData>
    <row r="1" spans="1:4" ht="15.6" x14ac:dyDescent="0.3">
      <c r="A1" s="6" t="s">
        <v>68</v>
      </c>
      <c r="B1" s="6" t="s">
        <v>69</v>
      </c>
      <c r="C1" s="6" t="s">
        <v>70</v>
      </c>
      <c r="D1" s="6" t="s">
        <v>71</v>
      </c>
    </row>
    <row r="2" spans="1:4" x14ac:dyDescent="0.3">
      <c r="A2" s="2" t="s">
        <v>72</v>
      </c>
      <c r="B2" s="11" t="s">
        <v>73</v>
      </c>
      <c r="C2" s="11" t="s">
        <v>74</v>
      </c>
      <c r="D2" s="14" t="s">
        <v>75</v>
      </c>
    </row>
    <row r="3" spans="1:4" x14ac:dyDescent="0.3">
      <c r="A3" s="2" t="s">
        <v>76</v>
      </c>
      <c r="B3" s="11" t="s">
        <v>77</v>
      </c>
      <c r="C3" s="12">
        <v>0.22</v>
      </c>
      <c r="D3" s="13" t="s">
        <v>78</v>
      </c>
    </row>
    <row r="4" spans="1:4" x14ac:dyDescent="0.3">
      <c r="A4" s="2" t="s">
        <v>79</v>
      </c>
      <c r="B4" s="11" t="s">
        <v>80</v>
      </c>
      <c r="C4" s="11" t="s">
        <v>81</v>
      </c>
      <c r="D4" s="14" t="s">
        <v>75</v>
      </c>
    </row>
    <row r="5" spans="1:4" x14ac:dyDescent="0.3">
      <c r="A5" s="2" t="s">
        <v>82</v>
      </c>
      <c r="B5" s="11" t="s">
        <v>83</v>
      </c>
      <c r="C5" s="4">
        <v>0.17</v>
      </c>
      <c r="D5" s="14" t="s">
        <v>75</v>
      </c>
    </row>
    <row r="6" spans="1:4" x14ac:dyDescent="0.3">
      <c r="A6" s="2" t="s">
        <v>84</v>
      </c>
      <c r="B6" s="11" t="s">
        <v>85</v>
      </c>
      <c r="C6" s="11" t="s">
        <v>86</v>
      </c>
      <c r="D6" s="14" t="s">
        <v>75</v>
      </c>
    </row>
    <row r="7" spans="1:4" x14ac:dyDescent="0.3">
      <c r="A7" s="2" t="s">
        <v>87</v>
      </c>
      <c r="B7" s="11" t="s">
        <v>88</v>
      </c>
      <c r="C7" s="5">
        <v>1.9300000000000001E-2</v>
      </c>
      <c r="D7" s="14" t="s">
        <v>75</v>
      </c>
    </row>
    <row r="8" spans="1:4" x14ac:dyDescent="0.3">
      <c r="A8" s="2" t="s">
        <v>89</v>
      </c>
      <c r="B8" s="11" t="s">
        <v>90</v>
      </c>
      <c r="C8" s="4">
        <v>0.24</v>
      </c>
      <c r="D8" s="14" t="s">
        <v>75</v>
      </c>
    </row>
    <row r="9" spans="1:4" x14ac:dyDescent="0.3">
      <c r="A9" s="2" t="s">
        <v>91</v>
      </c>
      <c r="B9" s="11" t="s">
        <v>92</v>
      </c>
      <c r="C9" s="5">
        <v>4.5999999999999999E-2</v>
      </c>
      <c r="D9" s="14" t="s">
        <v>75</v>
      </c>
    </row>
    <row r="10" spans="1:4" x14ac:dyDescent="0.3">
      <c r="A10" s="2" t="s">
        <v>93</v>
      </c>
      <c r="B10" s="11" t="s">
        <v>94</v>
      </c>
      <c r="C10" s="5">
        <v>0.192</v>
      </c>
      <c r="D10" s="14" t="s">
        <v>75</v>
      </c>
    </row>
    <row r="11" spans="1:4" x14ac:dyDescent="0.3">
      <c r="A11" s="2" t="s">
        <v>95</v>
      </c>
      <c r="B11" s="11" t="s">
        <v>96</v>
      </c>
      <c r="C11" s="5">
        <v>1.01E-2</v>
      </c>
      <c r="D11" s="14" t="s">
        <v>75</v>
      </c>
    </row>
    <row r="12" spans="1:4" x14ac:dyDescent="0.3">
      <c r="A12" s="2" t="s">
        <v>97</v>
      </c>
      <c r="B12" s="11" t="s">
        <v>98</v>
      </c>
      <c r="C12" s="5">
        <v>4.1000000000000003E-3</v>
      </c>
      <c r="D12" s="14" t="s">
        <v>75</v>
      </c>
    </row>
    <row r="13" spans="1:4" x14ac:dyDescent="0.3">
      <c r="A13" s="2" t="s">
        <v>99</v>
      </c>
      <c r="B13" s="11" t="s">
        <v>100</v>
      </c>
      <c r="C13" s="2" t="s">
        <v>101</v>
      </c>
      <c r="D13" s="14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9C7C-2BEC-4924-9D3B-E9B18788E96E}">
  <dimension ref="A1:E16"/>
  <sheetViews>
    <sheetView workbookViewId="0">
      <selection activeCell="A18" sqref="A18"/>
    </sheetView>
  </sheetViews>
  <sheetFormatPr defaultRowHeight="14.4" x14ac:dyDescent="0.3"/>
  <cols>
    <col min="1" max="1" width="27" bestFit="1" customWidth="1"/>
    <col min="2" max="2" width="14.33203125" bestFit="1" customWidth="1"/>
  </cols>
  <sheetData>
    <row r="1" spans="1:5" ht="15.6" x14ac:dyDescent="0.3">
      <c r="A1" s="6" t="s">
        <v>102</v>
      </c>
      <c r="B1" s="6" t="s">
        <v>103</v>
      </c>
      <c r="C1" s="6" t="s">
        <v>104</v>
      </c>
      <c r="D1" s="6" t="s">
        <v>105</v>
      </c>
      <c r="E1" s="6" t="s">
        <v>106</v>
      </c>
    </row>
    <row r="2" spans="1:5" x14ac:dyDescent="0.3">
      <c r="A2" s="2" t="s">
        <v>53</v>
      </c>
      <c r="B2" s="2">
        <v>4288</v>
      </c>
      <c r="C2" s="5">
        <v>0.14349999999999999</v>
      </c>
      <c r="D2" s="5">
        <v>8.09E-2</v>
      </c>
      <c r="E2" s="4">
        <v>0.47</v>
      </c>
    </row>
    <row r="3" spans="1:5" x14ac:dyDescent="0.3">
      <c r="A3" s="2" t="s">
        <v>54</v>
      </c>
      <c r="B3" s="2">
        <v>8325</v>
      </c>
      <c r="C3" s="5">
        <v>1.6199999999999999E-2</v>
      </c>
      <c r="D3" s="5">
        <v>8.9999999999999993E-3</v>
      </c>
      <c r="E3" s="4">
        <v>0.45</v>
      </c>
    </row>
    <row r="4" spans="1:5" x14ac:dyDescent="0.3">
      <c r="A4" s="2" t="s">
        <v>55</v>
      </c>
      <c r="B4" s="2">
        <v>37430</v>
      </c>
      <c r="C4" s="5">
        <v>4.1999999999999997E-3</v>
      </c>
      <c r="D4" s="5">
        <v>5.9999999999999995E-4</v>
      </c>
      <c r="E4" s="4">
        <v>0.86</v>
      </c>
    </row>
    <row r="5" spans="1:5" x14ac:dyDescent="0.3">
      <c r="A5" s="2" t="s">
        <v>56</v>
      </c>
      <c r="B5" s="2">
        <v>104485</v>
      </c>
      <c r="C5" s="5">
        <v>1.23E-2</v>
      </c>
      <c r="D5" s="5">
        <v>3.8E-3</v>
      </c>
      <c r="E5" s="4">
        <v>0.69</v>
      </c>
    </row>
    <row r="6" spans="1:5" x14ac:dyDescent="0.3">
      <c r="A6" s="2" t="s">
        <v>57</v>
      </c>
      <c r="B6" s="2">
        <v>10559</v>
      </c>
      <c r="C6" s="5">
        <v>3.8999999999999998E-3</v>
      </c>
      <c r="D6" s="5">
        <v>5.0000000000000001E-4</v>
      </c>
      <c r="E6" s="4">
        <v>0.86</v>
      </c>
    </row>
    <row r="7" spans="1:5" x14ac:dyDescent="0.3">
      <c r="A7" s="2" t="s">
        <v>58</v>
      </c>
      <c r="B7" s="2">
        <v>25234</v>
      </c>
      <c r="C7" s="5">
        <v>9.4000000000000004E-3</v>
      </c>
      <c r="D7" s="5">
        <v>1.1999999999999999E-3</v>
      </c>
      <c r="E7" s="4">
        <v>0.87</v>
      </c>
    </row>
    <row r="8" spans="1:5" x14ac:dyDescent="0.3">
      <c r="A8" s="2" t="s">
        <v>59</v>
      </c>
      <c r="B8" s="2">
        <v>2198</v>
      </c>
      <c r="C8" s="5">
        <v>5.4999999999999997E-3</v>
      </c>
      <c r="D8" s="5">
        <v>1E-3</v>
      </c>
      <c r="E8" s="4">
        <v>0.83</v>
      </c>
    </row>
    <row r="9" spans="1:5" x14ac:dyDescent="0.3">
      <c r="A9" s="2" t="s">
        <v>60</v>
      </c>
      <c r="B9" s="2">
        <v>17831</v>
      </c>
      <c r="C9" s="5">
        <v>3.3E-3</v>
      </c>
      <c r="D9" s="5">
        <v>3.0999999999999999E-3</v>
      </c>
      <c r="E9" s="4">
        <v>0.05</v>
      </c>
    </row>
    <row r="10" spans="1:5" x14ac:dyDescent="0.3">
      <c r="A10" s="2" t="s">
        <v>61</v>
      </c>
      <c r="B10" s="2">
        <v>51570</v>
      </c>
      <c r="C10" s="5">
        <v>2.6499999999999999E-2</v>
      </c>
      <c r="D10" s="5">
        <v>0.01</v>
      </c>
      <c r="E10" s="4">
        <v>0.63</v>
      </c>
    </row>
    <row r="11" spans="1:5" x14ac:dyDescent="0.3">
      <c r="A11" s="2" t="s">
        <v>62</v>
      </c>
      <c r="B11" s="2">
        <v>3881</v>
      </c>
      <c r="C11" s="5">
        <v>7.7999999999999996E-3</v>
      </c>
      <c r="D11" s="5">
        <v>4.1000000000000003E-3</v>
      </c>
      <c r="E11" s="4">
        <v>0.48</v>
      </c>
    </row>
    <row r="12" spans="1:5" x14ac:dyDescent="0.3">
      <c r="A12" s="2" t="s">
        <v>63</v>
      </c>
      <c r="B12" s="2">
        <v>15011</v>
      </c>
      <c r="C12" s="5">
        <v>1.34E-2</v>
      </c>
      <c r="D12" s="5">
        <v>8.6E-3</v>
      </c>
      <c r="E12" s="4">
        <v>0.36</v>
      </c>
    </row>
    <row r="13" spans="1:5" x14ac:dyDescent="0.3">
      <c r="A13" s="2" t="s">
        <v>64</v>
      </c>
      <c r="B13" s="2">
        <v>33839</v>
      </c>
      <c r="C13" s="5">
        <v>8.0000000000000004E-4</v>
      </c>
      <c r="D13" s="5">
        <v>4.0000000000000002E-4</v>
      </c>
      <c r="E13" s="4">
        <v>0.51</v>
      </c>
    </row>
    <row r="14" spans="1:5" x14ac:dyDescent="0.3">
      <c r="A14" s="2" t="s">
        <v>65</v>
      </c>
      <c r="B14" s="2">
        <v>33247</v>
      </c>
      <c r="C14" s="5">
        <v>2.0000000000000001E-4</v>
      </c>
      <c r="D14" s="5">
        <v>1E-4</v>
      </c>
      <c r="E14" s="4">
        <v>0.4</v>
      </c>
    </row>
    <row r="15" spans="1:5" x14ac:dyDescent="0.3">
      <c r="A15" s="2" t="s">
        <v>66</v>
      </c>
      <c r="B15" s="2">
        <v>162077</v>
      </c>
      <c r="C15" s="5">
        <v>5.4000000000000003E-3</v>
      </c>
      <c r="D15" s="5">
        <v>2.8E-3</v>
      </c>
      <c r="E15" s="4">
        <v>0.48</v>
      </c>
    </row>
    <row r="16" spans="1:5" x14ac:dyDescent="0.3">
      <c r="A16" s="2" t="s">
        <v>67</v>
      </c>
      <c r="B16" s="2">
        <v>509975</v>
      </c>
      <c r="C16" s="5">
        <v>1.01E-2</v>
      </c>
      <c r="D16" s="5">
        <v>4.1000000000000003E-3</v>
      </c>
      <c r="E16" s="4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Quaterly Results</vt:lpstr>
      <vt:lpstr>Annual Profit &amp; Loss</vt:lpstr>
      <vt:lpstr>Balance Sheet</vt:lpstr>
      <vt:lpstr>Cash Flow</vt:lpstr>
      <vt:lpstr>Ratios</vt:lpstr>
      <vt:lpstr>Insights</vt:lpstr>
      <vt:lpstr>Shareholding Pattern</vt:lpstr>
      <vt:lpstr>AUM by Segment</vt:lpstr>
      <vt:lpstr>Management Guidance vs Actual</vt:lpstr>
      <vt:lpstr>Credit Quality by 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Syeda Simran Sarwardi</dc:creator>
  <cp:lastModifiedBy>Syeda Simran Sarwardi</cp:lastModifiedBy>
  <dcterms:created xsi:type="dcterms:W3CDTF">2026-07-08T11:05:03Z</dcterms:created>
  <dcterms:modified xsi:type="dcterms:W3CDTF">2026-07-12T17:41:17Z</dcterms:modified>
</cp:coreProperties>
</file>